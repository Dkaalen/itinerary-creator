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nnisKålen\Desktop\Itineraries\PartnerPortal\ITIN-DK0801-Usha-4pax-Jun-Iceland\"/>
    </mc:Choice>
  </mc:AlternateContent>
  <xr:revisionPtr revIDLastSave="0" documentId="13_ncr:1_{2AC30274-0937-4396-80E9-7C3853B3ACAC}" xr6:coauthVersionLast="47" xr6:coauthVersionMax="47" xr10:uidLastSave="{00000000-0000-0000-0000-000000000000}"/>
  <bookViews>
    <workbookView xWindow="-120" yWindow="-120" windowWidth="29040" windowHeight="15720" activeTab="7" xr2:uid="{F0120B8F-C750-4EFC-83CE-D7DAB56C8915}"/>
  </bookViews>
  <sheets>
    <sheet name="Curr" sheetId="5" r:id="rId1"/>
    <sheet name="Kalk" sheetId="6" r:id="rId2"/>
    <sheet name="Kalk 2" sheetId="8" r:id="rId3"/>
    <sheet name="Kalk 3" sheetId="9" r:id="rId4"/>
    <sheet name="Kalk 4" sheetId="10" r:id="rId5"/>
    <sheet name="Kalk 5" sheetId="11" r:id="rId6"/>
    <sheet name="Kalk 6" sheetId="12" r:id="rId7"/>
    <sheet name="Kalk 7" sheetId="13" r:id="rId8"/>
    <sheet name="Kalk 8 Reverse" sheetId="14" state="hidden" r:id="rId9"/>
    <sheet name="Kalk 9" sheetId="15" state="hidden" r:id="rId10"/>
  </sheets>
  <definedNames>
    <definedName name="_xlnm._FilterDatabase" localSheetId="1" hidden="1">Kalk!$B$6:$AE$83</definedName>
    <definedName name="_xlnm._FilterDatabase" localSheetId="2" hidden="1">'Kalk 2'!$B$6:$AE$84</definedName>
    <definedName name="_xlnm._FilterDatabase" localSheetId="3" hidden="1">'Kalk 3'!$B$6:$AE$85</definedName>
    <definedName name="_xlnm._FilterDatabase" localSheetId="4" hidden="1">'Kalk 4'!$B$6:$AE$85</definedName>
    <definedName name="_xlnm._FilterDatabase" localSheetId="5" hidden="1">'Kalk 5'!$B$6:$AE$85</definedName>
    <definedName name="_xlnm._FilterDatabase" localSheetId="6" hidden="1">'Kalk 6'!$B$6:$AE$85</definedName>
    <definedName name="_xlnm._FilterDatabase" localSheetId="7" hidden="1">'Kalk 7'!$B$6:$AE$84</definedName>
    <definedName name="_xlnm._FilterDatabase" localSheetId="8" hidden="1">'Kalk 8 Reverse'!$B$6:$AE$85</definedName>
    <definedName name="_xlnm._FilterDatabase" localSheetId="9" hidden="1">'Kalk 9'!$B$6:$AE$85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 i="13" l="1"/>
  <c r="Y27" i="13"/>
  <c r="Y31" i="13"/>
  <c r="Y29" i="13"/>
  <c r="Y28" i="13"/>
  <c r="Y26" i="13"/>
  <c r="Y25" i="13"/>
  <c r="Y24" i="13"/>
  <c r="Z24" i="13" s="1"/>
  <c r="Y23" i="13"/>
  <c r="Z23" i="13" s="1"/>
  <c r="Y16" i="13"/>
  <c r="Y20" i="13"/>
  <c r="Y17" i="13"/>
  <c r="W17" i="13"/>
  <c r="S17" i="13"/>
  <c r="U17" i="13" s="1"/>
  <c r="Y13" i="13"/>
  <c r="Z13" i="13" s="1"/>
  <c r="AB20" i="13"/>
  <c r="AC20" i="13" s="1"/>
  <c r="W20" i="13"/>
  <c r="S20" i="13"/>
  <c r="U20" i="13" s="1"/>
  <c r="AB19" i="13"/>
  <c r="Y19" i="13"/>
  <c r="W19" i="13"/>
  <c r="S19" i="13"/>
  <c r="U19" i="13" s="1"/>
  <c r="AB18" i="13"/>
  <c r="Y18" i="13"/>
  <c r="Z18" i="13" s="1"/>
  <c r="W18" i="13"/>
  <c r="S18" i="13"/>
  <c r="U18" i="13" s="1"/>
  <c r="AB17" i="13"/>
  <c r="AB16" i="13"/>
  <c r="W16" i="13"/>
  <c r="S16" i="13"/>
  <c r="U16" i="13" s="1"/>
  <c r="AB15" i="13"/>
  <c r="Y15" i="13"/>
  <c r="W15" i="13"/>
  <c r="S15" i="13"/>
  <c r="U15" i="13" s="1"/>
  <c r="AB83" i="15"/>
  <c r="Y83" i="15"/>
  <c r="W83" i="15"/>
  <c r="S83" i="15"/>
  <c r="U83" i="15" s="1"/>
  <c r="AC82" i="15"/>
  <c r="AD82" i="15" s="1"/>
  <c r="AE82" i="15" s="1"/>
  <c r="AB82" i="15"/>
  <c r="Y82" i="15"/>
  <c r="Z82" i="15" s="1"/>
  <c r="W82" i="15"/>
  <c r="S82" i="15"/>
  <c r="U82" i="15" s="1"/>
  <c r="X82" i="15" s="1"/>
  <c r="AB81" i="15"/>
  <c r="AC81" i="15" s="1"/>
  <c r="Y81" i="15"/>
  <c r="Z81" i="15" s="1"/>
  <c r="W81" i="15"/>
  <c r="S81" i="15"/>
  <c r="U81" i="15" s="1"/>
  <c r="AB80" i="15"/>
  <c r="Y80" i="15"/>
  <c r="W80" i="15"/>
  <c r="S80" i="15"/>
  <c r="U80" i="15" s="1"/>
  <c r="AB79" i="15"/>
  <c r="Z79" i="15"/>
  <c r="Y79" i="15"/>
  <c r="W79" i="15"/>
  <c r="S79" i="15"/>
  <c r="U79" i="15" s="1"/>
  <c r="X79" i="15" s="1"/>
  <c r="AB78" i="15"/>
  <c r="AC78" i="15" s="1"/>
  <c r="Z78" i="15"/>
  <c r="Y78" i="15"/>
  <c r="W78" i="15"/>
  <c r="S78" i="15"/>
  <c r="U78" i="15" s="1"/>
  <c r="AB77" i="15"/>
  <c r="Y77" i="15"/>
  <c r="W77" i="15"/>
  <c r="S77" i="15"/>
  <c r="U77" i="15" s="1"/>
  <c r="AB76" i="15"/>
  <c r="Y76" i="15"/>
  <c r="W76" i="15"/>
  <c r="S76" i="15"/>
  <c r="U76" i="15" s="1"/>
  <c r="AB75" i="15"/>
  <c r="Y75" i="15"/>
  <c r="X75" i="15"/>
  <c r="W75" i="15"/>
  <c r="S75" i="15"/>
  <c r="U75" i="15" s="1"/>
  <c r="AB74" i="15"/>
  <c r="Y74" i="15"/>
  <c r="W74" i="15"/>
  <c r="S74" i="15"/>
  <c r="U74" i="15" s="1"/>
  <c r="AB73" i="15"/>
  <c r="Y73" i="15"/>
  <c r="Z73" i="15" s="1"/>
  <c r="W73" i="15"/>
  <c r="U73" i="15"/>
  <c r="S73" i="15"/>
  <c r="AB72" i="15"/>
  <c r="Y72" i="15"/>
  <c r="W72" i="15"/>
  <c r="U72" i="15"/>
  <c r="S72" i="15"/>
  <c r="AB71" i="15"/>
  <c r="Y71" i="15"/>
  <c r="W71" i="15"/>
  <c r="S71" i="15"/>
  <c r="U71" i="15" s="1"/>
  <c r="X71" i="15" s="1"/>
  <c r="AB70" i="15"/>
  <c r="Y70" i="15"/>
  <c r="AC70" i="15" s="1"/>
  <c r="AD70" i="15" s="1"/>
  <c r="AE70" i="15" s="1"/>
  <c r="W70" i="15"/>
  <c r="S70" i="15"/>
  <c r="U70" i="15" s="1"/>
  <c r="X70" i="15" s="1"/>
  <c r="AB69" i="15"/>
  <c r="Y69" i="15"/>
  <c r="Z69" i="15" s="1"/>
  <c r="W69" i="15"/>
  <c r="S69" i="15"/>
  <c r="U69" i="15" s="1"/>
  <c r="X69" i="15" s="1"/>
  <c r="AB68" i="15"/>
  <c r="Y68" i="15"/>
  <c r="W68" i="15"/>
  <c r="S68" i="15"/>
  <c r="U68" i="15" s="1"/>
  <c r="X68" i="15" s="1"/>
  <c r="AB67" i="15"/>
  <c r="Y67" i="15"/>
  <c r="W67" i="15"/>
  <c r="S67" i="15"/>
  <c r="U67" i="15" s="1"/>
  <c r="AC66" i="15"/>
  <c r="AB66" i="15"/>
  <c r="Y66" i="15"/>
  <c r="Z66" i="15" s="1"/>
  <c r="W66" i="15"/>
  <c r="S66" i="15"/>
  <c r="U66" i="15" s="1"/>
  <c r="AB65" i="15"/>
  <c r="AC65" i="15" s="1"/>
  <c r="Y65" i="15"/>
  <c r="Z65" i="15" s="1"/>
  <c r="W65" i="15"/>
  <c r="S65" i="15"/>
  <c r="U65" i="15" s="1"/>
  <c r="AB64" i="15"/>
  <c r="Y64" i="15"/>
  <c r="W64" i="15"/>
  <c r="S64" i="15"/>
  <c r="U64" i="15" s="1"/>
  <c r="AB63" i="15"/>
  <c r="Z63" i="15"/>
  <c r="Y63" i="15"/>
  <c r="W63" i="15"/>
  <c r="S63" i="15"/>
  <c r="U63" i="15" s="1"/>
  <c r="X63" i="15" s="1"/>
  <c r="AB62" i="15"/>
  <c r="AC62" i="15" s="1"/>
  <c r="Z62" i="15"/>
  <c r="Y62" i="15"/>
  <c r="W62" i="15"/>
  <c r="S62" i="15"/>
  <c r="U62" i="15" s="1"/>
  <c r="AB61" i="15"/>
  <c r="Y61" i="15"/>
  <c r="W61" i="15"/>
  <c r="S61" i="15"/>
  <c r="U61" i="15" s="1"/>
  <c r="X61" i="15" s="1"/>
  <c r="AB60" i="15"/>
  <c r="Y60" i="15"/>
  <c r="W60" i="15"/>
  <c r="S60" i="15"/>
  <c r="U60" i="15" s="1"/>
  <c r="AB59" i="15"/>
  <c r="Y59" i="15"/>
  <c r="W59" i="15"/>
  <c r="X59" i="15" s="1"/>
  <c r="S59" i="15"/>
  <c r="U59" i="15" s="1"/>
  <c r="AB58" i="15"/>
  <c r="Y58" i="15"/>
  <c r="W58" i="15"/>
  <c r="S58" i="15"/>
  <c r="U58" i="15" s="1"/>
  <c r="AB57" i="15"/>
  <c r="Y57" i="15"/>
  <c r="Z57" i="15" s="1"/>
  <c r="W57" i="15"/>
  <c r="U57" i="15"/>
  <c r="S57" i="15"/>
  <c r="AB56" i="15"/>
  <c r="Y56" i="15"/>
  <c r="W56" i="15"/>
  <c r="U56" i="15"/>
  <c r="S56" i="15"/>
  <c r="AB55" i="15"/>
  <c r="Y55" i="15"/>
  <c r="W55" i="15"/>
  <c r="S55" i="15"/>
  <c r="U55" i="15" s="1"/>
  <c r="X55" i="15" s="1"/>
  <c r="AB54" i="15"/>
  <c r="Y54" i="15"/>
  <c r="AC54" i="15" s="1"/>
  <c r="AD54" i="15" s="1"/>
  <c r="AE54" i="15" s="1"/>
  <c r="W54" i="15"/>
  <c r="S54" i="15"/>
  <c r="U54" i="15" s="1"/>
  <c r="X54" i="15" s="1"/>
  <c r="AB53" i="15"/>
  <c r="Y53" i="15"/>
  <c r="Z53" i="15" s="1"/>
  <c r="W53" i="15"/>
  <c r="S53" i="15"/>
  <c r="U53" i="15" s="1"/>
  <c r="X53" i="15" s="1"/>
  <c r="AB52" i="15"/>
  <c r="Y52" i="15"/>
  <c r="W52" i="15"/>
  <c r="S52" i="15"/>
  <c r="U52" i="15" s="1"/>
  <c r="X52" i="15" s="1"/>
  <c r="AB51" i="15"/>
  <c r="Y51" i="15"/>
  <c r="W51" i="15"/>
  <c r="S51" i="15"/>
  <c r="U51" i="15" s="1"/>
  <c r="X51" i="15" s="1"/>
  <c r="AC50" i="15"/>
  <c r="AB50" i="15"/>
  <c r="Y50" i="15"/>
  <c r="Z50" i="15" s="1"/>
  <c r="W50" i="15"/>
  <c r="S50" i="15"/>
  <c r="U50" i="15" s="1"/>
  <c r="AB49" i="15"/>
  <c r="AC49" i="15" s="1"/>
  <c r="Y49" i="15"/>
  <c r="Z49" i="15" s="1"/>
  <c r="W49" i="15"/>
  <c r="S49" i="15"/>
  <c r="U49" i="15" s="1"/>
  <c r="AB48" i="15"/>
  <c r="Y48" i="15"/>
  <c r="W48" i="15"/>
  <c r="S48" i="15"/>
  <c r="U48" i="15" s="1"/>
  <c r="AB47" i="15"/>
  <c r="Z47" i="15"/>
  <c r="Y47" i="15"/>
  <c r="W47" i="15"/>
  <c r="S47" i="15"/>
  <c r="U47" i="15" s="1"/>
  <c r="X47" i="15" s="1"/>
  <c r="AB46" i="15"/>
  <c r="AC46" i="15" s="1"/>
  <c r="Z46" i="15"/>
  <c r="Y46" i="15"/>
  <c r="W46" i="15"/>
  <c r="S46" i="15"/>
  <c r="U46" i="15" s="1"/>
  <c r="AB45" i="15"/>
  <c r="Y45" i="15"/>
  <c r="W45" i="15"/>
  <c r="S45" i="15"/>
  <c r="U45" i="15" s="1"/>
  <c r="X45" i="15" s="1"/>
  <c r="AB44" i="15"/>
  <c r="Y44" i="15"/>
  <c r="X44" i="15"/>
  <c r="W44" i="15"/>
  <c r="S44" i="15"/>
  <c r="U44" i="15" s="1"/>
  <c r="AB43" i="15"/>
  <c r="Y43" i="15"/>
  <c r="X43" i="15"/>
  <c r="W43" i="15"/>
  <c r="S43" i="15"/>
  <c r="U43" i="15" s="1"/>
  <c r="AB42" i="15"/>
  <c r="Y42" i="15"/>
  <c r="W42" i="15"/>
  <c r="S42" i="15"/>
  <c r="U42" i="15" s="1"/>
  <c r="AB41" i="15"/>
  <c r="Y41" i="15"/>
  <c r="Z41" i="15" s="1"/>
  <c r="W41" i="15"/>
  <c r="U41" i="15"/>
  <c r="S41" i="15"/>
  <c r="AB40" i="15"/>
  <c r="Y40" i="15"/>
  <c r="W40" i="15"/>
  <c r="U40" i="15"/>
  <c r="X40" i="15" s="1"/>
  <c r="S40" i="15"/>
  <c r="AB39" i="15"/>
  <c r="Y39" i="15"/>
  <c r="W39" i="15"/>
  <c r="S39" i="15"/>
  <c r="U39" i="15" s="1"/>
  <c r="AB38" i="15"/>
  <c r="Y38" i="15"/>
  <c r="W38" i="15"/>
  <c r="S38" i="15"/>
  <c r="U38" i="15" s="1"/>
  <c r="X38" i="15" s="1"/>
  <c r="AB37" i="15"/>
  <c r="Y37" i="15"/>
  <c r="Z37" i="15" s="1"/>
  <c r="W37" i="15"/>
  <c r="S37" i="15"/>
  <c r="U37" i="15" s="1"/>
  <c r="AB36" i="15"/>
  <c r="Y36" i="15"/>
  <c r="W36" i="15"/>
  <c r="S36" i="15"/>
  <c r="U36" i="15" s="1"/>
  <c r="X36" i="15" s="1"/>
  <c r="AB35" i="15"/>
  <c r="Y35" i="15"/>
  <c r="W35" i="15"/>
  <c r="S35" i="15"/>
  <c r="U35" i="15" s="1"/>
  <c r="AC34" i="15"/>
  <c r="AB34" i="15"/>
  <c r="Y34" i="15"/>
  <c r="Z34" i="15" s="1"/>
  <c r="W34" i="15"/>
  <c r="S34" i="15"/>
  <c r="U34" i="15" s="1"/>
  <c r="AB33" i="15"/>
  <c r="AC33" i="15" s="1"/>
  <c r="Y33" i="15"/>
  <c r="Z33" i="15" s="1"/>
  <c r="W33" i="15"/>
  <c r="S33" i="15"/>
  <c r="U33" i="15" s="1"/>
  <c r="AB32" i="15"/>
  <c r="Y32" i="15"/>
  <c r="W32" i="15"/>
  <c r="S32" i="15"/>
  <c r="U32" i="15" s="1"/>
  <c r="AB31" i="15"/>
  <c r="Z31" i="15"/>
  <c r="Y31" i="15"/>
  <c r="W31" i="15"/>
  <c r="S31" i="15"/>
  <c r="U31" i="15" s="1"/>
  <c r="X31" i="15" s="1"/>
  <c r="AB30" i="15"/>
  <c r="AC30" i="15" s="1"/>
  <c r="Z30" i="15"/>
  <c r="Y30" i="15"/>
  <c r="W30" i="15"/>
  <c r="S30" i="15"/>
  <c r="U30" i="15" s="1"/>
  <c r="AB29" i="15"/>
  <c r="Y29" i="15"/>
  <c r="Z29" i="15" s="1"/>
  <c r="W29" i="15"/>
  <c r="S29" i="15"/>
  <c r="U29" i="15" s="1"/>
  <c r="X29" i="15" s="1"/>
  <c r="AB28" i="15"/>
  <c r="Y28" i="15"/>
  <c r="W28" i="15"/>
  <c r="S28" i="15"/>
  <c r="U28" i="15" s="1"/>
  <c r="AB27" i="15"/>
  <c r="Z27" i="15"/>
  <c r="Y27" i="15"/>
  <c r="X27" i="15"/>
  <c r="W27" i="15"/>
  <c r="S27" i="15"/>
  <c r="U27" i="15" s="1"/>
  <c r="AB26" i="15"/>
  <c r="Y26" i="15"/>
  <c r="W26" i="15"/>
  <c r="S26" i="15"/>
  <c r="U26" i="15" s="1"/>
  <c r="AB25" i="15"/>
  <c r="Y25" i="15"/>
  <c r="W25" i="15"/>
  <c r="U25" i="15"/>
  <c r="S25" i="15"/>
  <c r="AB24" i="15"/>
  <c r="Y24" i="15"/>
  <c r="W24" i="15"/>
  <c r="X24" i="15" s="1"/>
  <c r="U24" i="15"/>
  <c r="S24" i="15"/>
  <c r="AB23" i="15"/>
  <c r="Y23" i="15"/>
  <c r="W23" i="15"/>
  <c r="X23" i="15" s="1"/>
  <c r="S23" i="15"/>
  <c r="U23" i="15" s="1"/>
  <c r="AB22" i="15"/>
  <c r="Y22" i="15"/>
  <c r="Z22" i="15" s="1"/>
  <c r="W22" i="15"/>
  <c r="S22" i="15"/>
  <c r="U22" i="15" s="1"/>
  <c r="X22" i="15" s="1"/>
  <c r="AB21" i="15"/>
  <c r="Y21" i="15"/>
  <c r="Z21" i="15" s="1"/>
  <c r="W21" i="15"/>
  <c r="U21" i="15"/>
  <c r="S21" i="15"/>
  <c r="AB20" i="15"/>
  <c r="Y20" i="15"/>
  <c r="W20" i="15"/>
  <c r="U20" i="15"/>
  <c r="S20" i="15"/>
  <c r="AB19" i="15"/>
  <c r="Y19" i="15"/>
  <c r="W19" i="15"/>
  <c r="S19" i="15"/>
  <c r="U19" i="15" s="1"/>
  <c r="AB18" i="15"/>
  <c r="AC18" i="15" s="1"/>
  <c r="AD18" i="15" s="1"/>
  <c r="AE18" i="15" s="1"/>
  <c r="Y18" i="15"/>
  <c r="Z18" i="15" s="1"/>
  <c r="W18" i="15"/>
  <c r="S18" i="15"/>
  <c r="U18" i="15" s="1"/>
  <c r="X18" i="15" s="1"/>
  <c r="AB17" i="15"/>
  <c r="AC17" i="15" s="1"/>
  <c r="AD17" i="15" s="1"/>
  <c r="AE17" i="15" s="1"/>
  <c r="Y17" i="15"/>
  <c r="Z17" i="15" s="1"/>
  <c r="W17" i="15"/>
  <c r="S17" i="15"/>
  <c r="U17" i="15" s="1"/>
  <c r="X17" i="15" s="1"/>
  <c r="AB16" i="15"/>
  <c r="Y16" i="15"/>
  <c r="W16" i="15"/>
  <c r="S16" i="15"/>
  <c r="U16" i="15" s="1"/>
  <c r="AC15" i="15"/>
  <c r="AB15" i="15"/>
  <c r="Y15" i="15"/>
  <c r="Z15" i="15" s="1"/>
  <c r="W15" i="15"/>
  <c r="U15" i="15"/>
  <c r="S15" i="15"/>
  <c r="AB14" i="15"/>
  <c r="Y14" i="15"/>
  <c r="Z14" i="15" s="1"/>
  <c r="W14" i="15"/>
  <c r="U14" i="15"/>
  <c r="S14" i="15"/>
  <c r="AB13" i="15"/>
  <c r="Z13" i="15"/>
  <c r="Y13" i="15"/>
  <c r="W13" i="15"/>
  <c r="S13" i="15"/>
  <c r="U13" i="15" s="1"/>
  <c r="AB12" i="15"/>
  <c r="AC12" i="15" s="1"/>
  <c r="Z12" i="15"/>
  <c r="Y12" i="15"/>
  <c r="W12" i="15"/>
  <c r="S12" i="15"/>
  <c r="U12" i="15" s="1"/>
  <c r="AB11" i="15"/>
  <c r="AC11" i="15" s="1"/>
  <c r="Y11" i="15"/>
  <c r="Z11" i="15" s="1"/>
  <c r="W11" i="15"/>
  <c r="S11" i="15"/>
  <c r="U11" i="15" s="1"/>
  <c r="AB10" i="15"/>
  <c r="Y10" i="15"/>
  <c r="Z10" i="15" s="1"/>
  <c r="X10" i="15"/>
  <c r="W10" i="15"/>
  <c r="U10" i="15"/>
  <c r="S10" i="15"/>
  <c r="AB9" i="15"/>
  <c r="Y9" i="15"/>
  <c r="W9" i="15"/>
  <c r="X9" i="15" s="1"/>
  <c r="S9" i="15"/>
  <c r="U9" i="15" s="1"/>
  <c r="AB8" i="15"/>
  <c r="AC8" i="15" s="1"/>
  <c r="Z8" i="15"/>
  <c r="Y8" i="15"/>
  <c r="W8" i="15"/>
  <c r="S8" i="15"/>
  <c r="U8" i="15" s="1"/>
  <c r="X8" i="15" s="1"/>
  <c r="Z88" i="15"/>
  <c r="AJ85" i="15"/>
  <c r="AI85" i="15"/>
  <c r="AH85" i="15"/>
  <c r="AG85" i="15"/>
  <c r="AF85" i="15"/>
  <c r="AB7" i="15"/>
  <c r="Z7" i="15"/>
  <c r="Y7" i="15"/>
  <c r="W7" i="15"/>
  <c r="S7" i="15"/>
  <c r="U7" i="15" s="1"/>
  <c r="Y68" i="14"/>
  <c r="W68" i="14"/>
  <c r="S68" i="14"/>
  <c r="U68" i="14" s="1"/>
  <c r="X68" i="14" s="1"/>
  <c r="Y67" i="14"/>
  <c r="W67" i="14"/>
  <c r="S67" i="14"/>
  <c r="U67" i="14" s="1"/>
  <c r="X67" i="14" s="1"/>
  <c r="Y66" i="14"/>
  <c r="W66" i="14"/>
  <c r="S66" i="14"/>
  <c r="U66" i="14" s="1"/>
  <c r="X66" i="14" s="1"/>
  <c r="Y65" i="14"/>
  <c r="Z65" i="14" s="1"/>
  <c r="W65" i="14"/>
  <c r="U65" i="14"/>
  <c r="S65" i="14"/>
  <c r="Y64" i="14"/>
  <c r="W64" i="14"/>
  <c r="U64" i="14"/>
  <c r="S64" i="14"/>
  <c r="Y63" i="14"/>
  <c r="Z63" i="14" s="1"/>
  <c r="W63" i="14"/>
  <c r="S63" i="14"/>
  <c r="U63" i="14" s="1"/>
  <c r="Y62" i="14"/>
  <c r="X62" i="14"/>
  <c r="W62" i="14"/>
  <c r="U62" i="14"/>
  <c r="S62" i="14"/>
  <c r="Y61" i="14"/>
  <c r="W61" i="14"/>
  <c r="S61" i="14"/>
  <c r="U61" i="14" s="1"/>
  <c r="Y60" i="14"/>
  <c r="W60" i="14"/>
  <c r="S60" i="14"/>
  <c r="U60" i="14" s="1"/>
  <c r="Y59" i="14"/>
  <c r="W59" i="14"/>
  <c r="S59" i="14"/>
  <c r="U59" i="14" s="1"/>
  <c r="Y58" i="14"/>
  <c r="W58" i="14"/>
  <c r="S58" i="14"/>
  <c r="U58" i="14" s="1"/>
  <c r="Y57" i="14"/>
  <c r="Z57" i="14" s="1"/>
  <c r="W57" i="14"/>
  <c r="S57" i="14"/>
  <c r="U57" i="14" s="1"/>
  <c r="Y56" i="14"/>
  <c r="W56" i="14"/>
  <c r="U56" i="14"/>
  <c r="X56" i="14" s="1"/>
  <c r="S56" i="14"/>
  <c r="Y55" i="14"/>
  <c r="W55" i="14"/>
  <c r="S55" i="14"/>
  <c r="U55" i="14" s="1"/>
  <c r="Y54" i="14"/>
  <c r="X54" i="14"/>
  <c r="W54" i="14"/>
  <c r="U54" i="14"/>
  <c r="S54" i="14"/>
  <c r="Y53" i="14"/>
  <c r="W53" i="14"/>
  <c r="S53" i="14"/>
  <c r="U53" i="14" s="1"/>
  <c r="Y52" i="14"/>
  <c r="W52" i="14"/>
  <c r="S52" i="14"/>
  <c r="U52" i="14" s="1"/>
  <c r="Y51" i="14"/>
  <c r="W51" i="14"/>
  <c r="S51" i="14"/>
  <c r="U51" i="14" s="1"/>
  <c r="Y50" i="14"/>
  <c r="W50" i="14"/>
  <c r="S50" i="14"/>
  <c r="U50" i="14" s="1"/>
  <c r="Y49" i="14"/>
  <c r="W49" i="14"/>
  <c r="S49" i="14"/>
  <c r="U49" i="14" s="1"/>
  <c r="X49" i="14" s="1"/>
  <c r="Y48" i="14"/>
  <c r="W48" i="14"/>
  <c r="U48" i="14"/>
  <c r="X48" i="14" s="1"/>
  <c r="S48" i="14"/>
  <c r="Y47" i="14"/>
  <c r="W47" i="14"/>
  <c r="S47" i="14"/>
  <c r="U47" i="14" s="1"/>
  <c r="Y46" i="14"/>
  <c r="W46" i="14"/>
  <c r="X46" i="14" s="1"/>
  <c r="U46" i="14"/>
  <c r="S46" i="14"/>
  <c r="Y45" i="14"/>
  <c r="W45" i="14"/>
  <c r="S45" i="14"/>
  <c r="U45" i="14" s="1"/>
  <c r="Y44" i="14"/>
  <c r="W44" i="14"/>
  <c r="S44" i="14"/>
  <c r="U44" i="14" s="1"/>
  <c r="Y43" i="14"/>
  <c r="Z43" i="14" s="1"/>
  <c r="W43" i="14"/>
  <c r="S43" i="14"/>
  <c r="U43" i="14" s="1"/>
  <c r="Y42" i="14"/>
  <c r="W42" i="14"/>
  <c r="S42" i="14"/>
  <c r="U42" i="14" s="1"/>
  <c r="X42" i="14" s="1"/>
  <c r="Y41" i="14"/>
  <c r="W41" i="14"/>
  <c r="S41" i="14"/>
  <c r="U41" i="14" s="1"/>
  <c r="X41" i="14" s="1"/>
  <c r="Z48" i="14"/>
  <c r="Z54" i="14"/>
  <c r="Z45" i="14"/>
  <c r="Z41" i="14"/>
  <c r="Y40" i="14"/>
  <c r="Z40" i="14" s="1"/>
  <c r="W40" i="14"/>
  <c r="S40" i="14"/>
  <c r="U40" i="14" s="1"/>
  <c r="Y39" i="14"/>
  <c r="W39" i="14"/>
  <c r="S39" i="14"/>
  <c r="U39" i="14" s="1"/>
  <c r="Y38" i="14"/>
  <c r="Z38" i="14" s="1"/>
  <c r="W38" i="14"/>
  <c r="S38" i="14"/>
  <c r="U38" i="14" s="1"/>
  <c r="Y37" i="14"/>
  <c r="Z37" i="14" s="1"/>
  <c r="W37" i="14"/>
  <c r="S37" i="14"/>
  <c r="U37" i="14" s="1"/>
  <c r="Y36" i="14"/>
  <c r="Z36" i="14" s="1"/>
  <c r="W36" i="14"/>
  <c r="S36" i="14"/>
  <c r="U36" i="14" s="1"/>
  <c r="X36" i="14" s="1"/>
  <c r="Y35" i="14"/>
  <c r="W35" i="14"/>
  <c r="S35" i="14"/>
  <c r="U35" i="14" s="1"/>
  <c r="X35" i="14" s="1"/>
  <c r="Y34" i="14"/>
  <c r="Z34" i="14" s="1"/>
  <c r="W34" i="14"/>
  <c r="S34" i="14"/>
  <c r="U34" i="14" s="1"/>
  <c r="X34" i="14" s="1"/>
  <c r="Y33" i="14"/>
  <c r="Z33" i="14" s="1"/>
  <c r="W33" i="14"/>
  <c r="S33" i="14"/>
  <c r="U33" i="14" s="1"/>
  <c r="Y32" i="14"/>
  <c r="Z32" i="14" s="1"/>
  <c r="W32" i="14"/>
  <c r="S32" i="14"/>
  <c r="U32" i="14" s="1"/>
  <c r="Y31" i="14"/>
  <c r="Z31" i="14" s="1"/>
  <c r="W31" i="14"/>
  <c r="S31" i="14"/>
  <c r="U31" i="14" s="1"/>
  <c r="Y30" i="14"/>
  <c r="Z30" i="14" s="1"/>
  <c r="W30" i="14"/>
  <c r="S30" i="14"/>
  <c r="U30" i="14" s="1"/>
  <c r="Y29" i="14"/>
  <c r="Z29" i="14" s="1"/>
  <c r="W29" i="14"/>
  <c r="S29" i="14"/>
  <c r="U29" i="14" s="1"/>
  <c r="Y28" i="14"/>
  <c r="Z28" i="14" s="1"/>
  <c r="W28" i="14"/>
  <c r="S28" i="14"/>
  <c r="U28" i="14" s="1"/>
  <c r="X28" i="14" s="1"/>
  <c r="Y27" i="14"/>
  <c r="W27" i="14"/>
  <c r="S27" i="14"/>
  <c r="U27" i="14" s="1"/>
  <c r="X27" i="14" s="1"/>
  <c r="Y26" i="14"/>
  <c r="Z26" i="14" s="1"/>
  <c r="W26" i="14"/>
  <c r="S26" i="14"/>
  <c r="U26" i="14" s="1"/>
  <c r="X26" i="14" s="1"/>
  <c r="Y25" i="14"/>
  <c r="Z25" i="14" s="1"/>
  <c r="W25" i="14"/>
  <c r="S25" i="14"/>
  <c r="U25" i="14" s="1"/>
  <c r="Y24" i="14"/>
  <c r="Z24" i="14" s="1"/>
  <c r="W24" i="14"/>
  <c r="S24" i="14"/>
  <c r="U24" i="14" s="1"/>
  <c r="Y23" i="14"/>
  <c r="Z23" i="14" s="1"/>
  <c r="W23" i="14"/>
  <c r="S23" i="14"/>
  <c r="U23" i="14" s="1"/>
  <c r="Y22" i="14"/>
  <c r="Z22" i="14" s="1"/>
  <c r="W22" i="14"/>
  <c r="S22" i="14"/>
  <c r="U22" i="14" s="1"/>
  <c r="Y21" i="14"/>
  <c r="Z21" i="14" s="1"/>
  <c r="W21" i="14"/>
  <c r="S21" i="14"/>
  <c r="U21" i="14" s="1"/>
  <c r="Y20" i="14"/>
  <c r="Z20" i="14" s="1"/>
  <c r="W20" i="14"/>
  <c r="S20" i="14"/>
  <c r="U20" i="14" s="1"/>
  <c r="X20" i="14" s="1"/>
  <c r="Y19" i="14"/>
  <c r="Z19" i="14" s="1"/>
  <c r="W19" i="14"/>
  <c r="S19" i="14"/>
  <c r="U19" i="14" s="1"/>
  <c r="X19" i="14" s="1"/>
  <c r="Y18" i="14"/>
  <c r="Z18" i="14" s="1"/>
  <c r="W18" i="14"/>
  <c r="S18" i="14"/>
  <c r="U18" i="14" s="1"/>
  <c r="X18" i="14" s="1"/>
  <c r="Y17" i="14"/>
  <c r="Z17" i="14" s="1"/>
  <c r="W17" i="14"/>
  <c r="S17" i="14"/>
  <c r="U17" i="14" s="1"/>
  <c r="W16" i="14"/>
  <c r="Q16" i="14"/>
  <c r="Y16" i="14" s="1"/>
  <c r="Y15" i="14"/>
  <c r="Z15" i="14" s="1"/>
  <c r="W15" i="14"/>
  <c r="S15" i="14"/>
  <c r="U15" i="14" s="1"/>
  <c r="X15" i="14" s="1"/>
  <c r="Y14" i="14"/>
  <c r="Z14" i="14" s="1"/>
  <c r="W14" i="14"/>
  <c r="S14" i="14"/>
  <c r="U14" i="14" s="1"/>
  <c r="Y13" i="14"/>
  <c r="Z13" i="14" s="1"/>
  <c r="W13" i="14"/>
  <c r="S13" i="14"/>
  <c r="U13" i="14" s="1"/>
  <c r="Y12" i="14"/>
  <c r="Z12" i="14" s="1"/>
  <c r="W12" i="14"/>
  <c r="S12" i="14"/>
  <c r="U12" i="14" s="1"/>
  <c r="Y10" i="14"/>
  <c r="W10" i="14"/>
  <c r="S10" i="14"/>
  <c r="U10" i="14" s="1"/>
  <c r="Y9" i="14"/>
  <c r="W9" i="14"/>
  <c r="S9" i="14"/>
  <c r="U9" i="14" s="1"/>
  <c r="Y8" i="14"/>
  <c r="W8" i="14"/>
  <c r="S8" i="14"/>
  <c r="U8" i="14" s="1"/>
  <c r="AB83" i="14"/>
  <c r="Y83" i="14"/>
  <c r="W83" i="14"/>
  <c r="S83" i="14"/>
  <c r="U83" i="14" s="1"/>
  <c r="AB82" i="14"/>
  <c r="Y82" i="14"/>
  <c r="W82" i="14"/>
  <c r="S82" i="14"/>
  <c r="U82" i="14" s="1"/>
  <c r="AB81" i="14"/>
  <c r="Y81" i="14"/>
  <c r="W81" i="14"/>
  <c r="S81" i="14"/>
  <c r="U81" i="14" s="1"/>
  <c r="AB80" i="14"/>
  <c r="Y80" i="14"/>
  <c r="AC80" i="14" s="1"/>
  <c r="W80" i="14"/>
  <c r="S80" i="14"/>
  <c r="U80" i="14" s="1"/>
  <c r="X80" i="14" s="1"/>
  <c r="AB79" i="14"/>
  <c r="Y79" i="14"/>
  <c r="W79" i="14"/>
  <c r="S79" i="14"/>
  <c r="U79" i="14" s="1"/>
  <c r="AB78" i="14"/>
  <c r="AC78" i="14" s="1"/>
  <c r="Y78" i="14"/>
  <c r="Z78" i="14" s="1"/>
  <c r="W78" i="14"/>
  <c r="S78" i="14"/>
  <c r="U78" i="14" s="1"/>
  <c r="X78" i="14" s="1"/>
  <c r="AB77" i="14"/>
  <c r="Y77" i="14"/>
  <c r="Z77" i="14" s="1"/>
  <c r="W77" i="14"/>
  <c r="S77" i="14"/>
  <c r="U77" i="14" s="1"/>
  <c r="AB76" i="14"/>
  <c r="Y76" i="14"/>
  <c r="Z76" i="14" s="1"/>
  <c r="W76" i="14"/>
  <c r="S76" i="14"/>
  <c r="U76" i="14" s="1"/>
  <c r="X76" i="14" s="1"/>
  <c r="AB75" i="14"/>
  <c r="Y75" i="14"/>
  <c r="Z75" i="14" s="1"/>
  <c r="W75" i="14"/>
  <c r="S75" i="14"/>
  <c r="U75" i="14" s="1"/>
  <c r="AB74" i="14"/>
  <c r="Y74" i="14"/>
  <c r="Z74" i="14" s="1"/>
  <c r="W74" i="14"/>
  <c r="S74" i="14"/>
  <c r="U74" i="14" s="1"/>
  <c r="X74" i="14" s="1"/>
  <c r="AB73" i="14"/>
  <c r="Y73" i="14"/>
  <c r="Z73" i="14" s="1"/>
  <c r="W73" i="14"/>
  <c r="S73" i="14"/>
  <c r="U73" i="14" s="1"/>
  <c r="AB72" i="14"/>
  <c r="Y72" i="14"/>
  <c r="AC72" i="14" s="1"/>
  <c r="W72" i="14"/>
  <c r="S72" i="14"/>
  <c r="U72" i="14" s="1"/>
  <c r="X72" i="14" s="1"/>
  <c r="AB71" i="14"/>
  <c r="Y71" i="14"/>
  <c r="W71" i="14"/>
  <c r="X71" i="14" s="1"/>
  <c r="S71" i="14"/>
  <c r="U71" i="14" s="1"/>
  <c r="AB70" i="14"/>
  <c r="Y70" i="14"/>
  <c r="AC70" i="14" s="1"/>
  <c r="W70" i="14"/>
  <c r="S70" i="14"/>
  <c r="U70" i="14" s="1"/>
  <c r="X70" i="14" s="1"/>
  <c r="AB69" i="14"/>
  <c r="Y69" i="14"/>
  <c r="W69" i="14"/>
  <c r="S69" i="14"/>
  <c r="U69" i="14" s="1"/>
  <c r="AB68" i="14"/>
  <c r="AC68" i="14"/>
  <c r="AB67" i="14"/>
  <c r="AB66" i="14"/>
  <c r="Z66" i="14"/>
  <c r="AB65" i="14"/>
  <c r="AB64" i="14"/>
  <c r="AB63" i="14"/>
  <c r="AB62" i="14"/>
  <c r="AB61" i="14"/>
  <c r="Z61" i="14"/>
  <c r="AB60" i="14"/>
  <c r="AB59" i="14"/>
  <c r="AB58" i="14"/>
  <c r="AB57" i="14"/>
  <c r="AB56" i="14"/>
  <c r="AB55" i="14"/>
  <c r="AC55" i="14" s="1"/>
  <c r="Z55" i="14"/>
  <c r="AB54" i="14"/>
  <c r="AB53" i="14"/>
  <c r="AC53" i="14" s="1"/>
  <c r="Z53" i="14"/>
  <c r="AB52" i="14"/>
  <c r="AC52" i="14" s="1"/>
  <c r="AB51" i="14"/>
  <c r="AB50" i="14"/>
  <c r="AB49" i="14"/>
  <c r="AB48" i="14"/>
  <c r="AB47" i="14"/>
  <c r="AC47" i="14"/>
  <c r="AB46" i="14"/>
  <c r="AB45" i="14"/>
  <c r="AB44" i="14"/>
  <c r="Z44" i="14"/>
  <c r="AB43" i="14"/>
  <c r="AB42" i="14"/>
  <c r="Z42" i="14"/>
  <c r="AB41" i="14"/>
  <c r="AB40" i="14"/>
  <c r="AB39" i="14"/>
  <c r="AB38" i="14"/>
  <c r="AB37" i="14"/>
  <c r="AC37" i="14" s="1"/>
  <c r="AB36" i="14"/>
  <c r="AB35" i="14"/>
  <c r="AB34" i="14"/>
  <c r="AB33" i="14"/>
  <c r="AB32" i="14"/>
  <c r="AB31" i="14"/>
  <c r="AB30" i="14"/>
  <c r="AB29" i="14"/>
  <c r="AB28" i="14"/>
  <c r="AB27" i="14"/>
  <c r="AB26" i="14"/>
  <c r="AC26" i="14"/>
  <c r="AB25" i="14"/>
  <c r="AB24" i="14"/>
  <c r="AC24" i="14"/>
  <c r="AB23" i="14"/>
  <c r="AB22" i="14"/>
  <c r="AB21" i="14"/>
  <c r="AC21" i="14" s="1"/>
  <c r="AB20" i="14"/>
  <c r="AB19" i="14"/>
  <c r="AB18" i="14"/>
  <c r="AB17" i="14"/>
  <c r="AB16" i="14"/>
  <c r="AB15" i="14"/>
  <c r="AB14" i="14"/>
  <c r="AB13" i="14"/>
  <c r="AB12" i="14"/>
  <c r="AB11" i="14"/>
  <c r="Y11" i="14"/>
  <c r="W11" i="14"/>
  <c r="S11" i="14"/>
  <c r="U11" i="14" s="1"/>
  <c r="X11" i="14" s="1"/>
  <c r="AB10" i="14"/>
  <c r="Z10" i="14"/>
  <c r="AB9" i="14"/>
  <c r="AB8" i="14"/>
  <c r="Z98" i="14"/>
  <c r="Z88" i="14"/>
  <c r="AJ85" i="14"/>
  <c r="AI85" i="14"/>
  <c r="AH85" i="14"/>
  <c r="AG85" i="14"/>
  <c r="AF85" i="14"/>
  <c r="AB7" i="14"/>
  <c r="Y7" i="14"/>
  <c r="AC7" i="14" s="1"/>
  <c r="W7" i="14"/>
  <c r="S7" i="14"/>
  <c r="U7" i="14" s="1"/>
  <c r="Z87" i="13"/>
  <c r="AJ84" i="13"/>
  <c r="AI84" i="13"/>
  <c r="AH84" i="13"/>
  <c r="AG84" i="13"/>
  <c r="AF84" i="13"/>
  <c r="AB82" i="13"/>
  <c r="Y82" i="13"/>
  <c r="Z82" i="13" s="1"/>
  <c r="W82" i="13"/>
  <c r="S82" i="13"/>
  <c r="U82" i="13" s="1"/>
  <c r="AB81" i="13"/>
  <c r="Y81" i="13"/>
  <c r="W81" i="13"/>
  <c r="S81" i="13"/>
  <c r="U81" i="13" s="1"/>
  <c r="AB80" i="13"/>
  <c r="Y80" i="13"/>
  <c r="Z80" i="13" s="1"/>
  <c r="W80" i="13"/>
  <c r="S80" i="13"/>
  <c r="U80" i="13" s="1"/>
  <c r="AB79" i="13"/>
  <c r="Y79" i="13"/>
  <c r="W79" i="13"/>
  <c r="S79" i="13"/>
  <c r="U79" i="13" s="1"/>
  <c r="AB78" i="13"/>
  <c r="Y78" i="13"/>
  <c r="W78" i="13"/>
  <c r="S78" i="13"/>
  <c r="U78" i="13" s="1"/>
  <c r="AB77" i="13"/>
  <c r="Y77" i="13"/>
  <c r="W77" i="13"/>
  <c r="S77" i="13"/>
  <c r="U77" i="13" s="1"/>
  <c r="AB76" i="13"/>
  <c r="Y76" i="13"/>
  <c r="Z76" i="13" s="1"/>
  <c r="W76" i="13"/>
  <c r="S76" i="13"/>
  <c r="U76" i="13" s="1"/>
  <c r="AB75" i="13"/>
  <c r="Y75" i="13"/>
  <c r="W75" i="13"/>
  <c r="S75" i="13"/>
  <c r="U75" i="13" s="1"/>
  <c r="AB74" i="13"/>
  <c r="Y74" i="13"/>
  <c r="W74" i="13"/>
  <c r="S74" i="13"/>
  <c r="U74" i="13" s="1"/>
  <c r="AB73" i="13"/>
  <c r="Y73" i="13"/>
  <c r="W73" i="13"/>
  <c r="S73" i="13"/>
  <c r="U73" i="13" s="1"/>
  <c r="AB72" i="13"/>
  <c r="Y72" i="13"/>
  <c r="Z72" i="13" s="1"/>
  <c r="W72" i="13"/>
  <c r="S72" i="13"/>
  <c r="U72" i="13" s="1"/>
  <c r="AB71" i="13"/>
  <c r="Y71" i="13"/>
  <c r="W71" i="13"/>
  <c r="S71" i="13"/>
  <c r="U71" i="13" s="1"/>
  <c r="AB70" i="13"/>
  <c r="Y70" i="13"/>
  <c r="W70" i="13"/>
  <c r="S70" i="13"/>
  <c r="U70" i="13" s="1"/>
  <c r="AB69" i="13"/>
  <c r="Y69" i="13"/>
  <c r="W69" i="13"/>
  <c r="S69" i="13"/>
  <c r="U69" i="13" s="1"/>
  <c r="AB68" i="13"/>
  <c r="Y68" i="13"/>
  <c r="Z68" i="13" s="1"/>
  <c r="W68" i="13"/>
  <c r="S68" i="13"/>
  <c r="U68" i="13" s="1"/>
  <c r="AB67" i="13"/>
  <c r="Y67" i="13"/>
  <c r="W67" i="13"/>
  <c r="S67" i="13"/>
  <c r="U67" i="13" s="1"/>
  <c r="AB66" i="13"/>
  <c r="Y66" i="13"/>
  <c r="W66" i="13"/>
  <c r="S66" i="13"/>
  <c r="U66" i="13" s="1"/>
  <c r="AB65" i="13"/>
  <c r="Y65" i="13"/>
  <c r="W65" i="13"/>
  <c r="S65" i="13"/>
  <c r="U65" i="13" s="1"/>
  <c r="AB64" i="13"/>
  <c r="Y64" i="13"/>
  <c r="Z64" i="13" s="1"/>
  <c r="W64" i="13"/>
  <c r="S64" i="13"/>
  <c r="U64" i="13" s="1"/>
  <c r="AB63" i="13"/>
  <c r="Y63" i="13"/>
  <c r="W63" i="13"/>
  <c r="S63" i="13"/>
  <c r="U63" i="13" s="1"/>
  <c r="AB62" i="13"/>
  <c r="Y62" i="13"/>
  <c r="W62" i="13"/>
  <c r="S62" i="13"/>
  <c r="U62" i="13" s="1"/>
  <c r="AB61" i="13"/>
  <c r="Y61" i="13"/>
  <c r="W61" i="13"/>
  <c r="S61" i="13"/>
  <c r="U61" i="13" s="1"/>
  <c r="AB60" i="13"/>
  <c r="Y60" i="13"/>
  <c r="Z60" i="13" s="1"/>
  <c r="W60" i="13"/>
  <c r="S60" i="13"/>
  <c r="U60" i="13" s="1"/>
  <c r="AB59" i="13"/>
  <c r="Y59" i="13"/>
  <c r="W59" i="13"/>
  <c r="S59" i="13"/>
  <c r="U59" i="13" s="1"/>
  <c r="AB58" i="13"/>
  <c r="Y58" i="13"/>
  <c r="W58" i="13"/>
  <c r="S58" i="13"/>
  <c r="U58" i="13" s="1"/>
  <c r="AB57" i="13"/>
  <c r="Y57" i="13"/>
  <c r="W57" i="13"/>
  <c r="S57" i="13"/>
  <c r="U57" i="13" s="1"/>
  <c r="AB56" i="13"/>
  <c r="Y56" i="13"/>
  <c r="Z56" i="13" s="1"/>
  <c r="W56" i="13"/>
  <c r="S56" i="13"/>
  <c r="U56" i="13" s="1"/>
  <c r="AB55" i="13"/>
  <c r="Y55" i="13"/>
  <c r="W55" i="13"/>
  <c r="S55" i="13"/>
  <c r="U55" i="13" s="1"/>
  <c r="AB54" i="13"/>
  <c r="Y54" i="13"/>
  <c r="W54" i="13"/>
  <c r="S54" i="13"/>
  <c r="U54" i="13" s="1"/>
  <c r="AB53" i="13"/>
  <c r="Y53" i="13"/>
  <c r="W53" i="13"/>
  <c r="S53" i="13"/>
  <c r="U53" i="13" s="1"/>
  <c r="AB52" i="13"/>
  <c r="Y52" i="13"/>
  <c r="Z52" i="13" s="1"/>
  <c r="W52" i="13"/>
  <c r="S52" i="13"/>
  <c r="U52" i="13" s="1"/>
  <c r="AB51" i="13"/>
  <c r="Y51" i="13"/>
  <c r="W51" i="13"/>
  <c r="S51" i="13"/>
  <c r="U51" i="13" s="1"/>
  <c r="AB50" i="13"/>
  <c r="Y50" i="13"/>
  <c r="W50" i="13"/>
  <c r="S50" i="13"/>
  <c r="U50" i="13" s="1"/>
  <c r="AB49" i="13"/>
  <c r="Y49" i="13"/>
  <c r="W49" i="13"/>
  <c r="S49" i="13"/>
  <c r="U49" i="13" s="1"/>
  <c r="AB48" i="13"/>
  <c r="Y48" i="13"/>
  <c r="Z48" i="13" s="1"/>
  <c r="W48" i="13"/>
  <c r="S48" i="13"/>
  <c r="U48" i="13" s="1"/>
  <c r="AB47" i="13"/>
  <c r="Y47" i="13"/>
  <c r="W47" i="13"/>
  <c r="S47" i="13"/>
  <c r="U47" i="13" s="1"/>
  <c r="AB46" i="13"/>
  <c r="Y46" i="13"/>
  <c r="W46" i="13"/>
  <c r="S46" i="13"/>
  <c r="U46" i="13" s="1"/>
  <c r="AB45" i="13"/>
  <c r="W45" i="13"/>
  <c r="Q45" i="13"/>
  <c r="S45" i="13" s="1"/>
  <c r="U45" i="13" s="1"/>
  <c r="AB44" i="13"/>
  <c r="Y44" i="13"/>
  <c r="Z44" i="13" s="1"/>
  <c r="W44" i="13"/>
  <c r="S44" i="13"/>
  <c r="U44" i="13" s="1"/>
  <c r="AB43" i="13"/>
  <c r="Y43" i="13"/>
  <c r="Z43" i="13" s="1"/>
  <c r="W43" i="13"/>
  <c r="S43" i="13"/>
  <c r="U43" i="13" s="1"/>
  <c r="AB42" i="13"/>
  <c r="Y42" i="13"/>
  <c r="W42" i="13"/>
  <c r="S42" i="13"/>
  <c r="U42" i="13" s="1"/>
  <c r="AB41" i="13"/>
  <c r="Y41" i="13"/>
  <c r="Z41" i="13" s="1"/>
  <c r="W41" i="13"/>
  <c r="S41" i="13"/>
  <c r="U41" i="13" s="1"/>
  <c r="AB40" i="13"/>
  <c r="Y40" i="13"/>
  <c r="Z40" i="13" s="1"/>
  <c r="W40" i="13"/>
  <c r="S40" i="13"/>
  <c r="U40" i="13" s="1"/>
  <c r="AB39" i="13"/>
  <c r="Y39" i="13"/>
  <c r="Z39" i="13" s="1"/>
  <c r="W39" i="13"/>
  <c r="S39" i="13"/>
  <c r="U39" i="13" s="1"/>
  <c r="AB38" i="13"/>
  <c r="Y38" i="13"/>
  <c r="W38" i="13"/>
  <c r="S38" i="13"/>
  <c r="U38" i="13" s="1"/>
  <c r="AB37" i="13"/>
  <c r="Y37" i="13"/>
  <c r="Z37" i="13" s="1"/>
  <c r="W37" i="13"/>
  <c r="S37" i="13"/>
  <c r="U37" i="13" s="1"/>
  <c r="AB36" i="13"/>
  <c r="Y36" i="13"/>
  <c r="Z36" i="13" s="1"/>
  <c r="W36" i="13"/>
  <c r="S36" i="13"/>
  <c r="U36" i="13" s="1"/>
  <c r="AB35" i="13"/>
  <c r="Y35" i="13"/>
  <c r="Z35" i="13" s="1"/>
  <c r="W35" i="13"/>
  <c r="S35" i="13"/>
  <c r="U35" i="13" s="1"/>
  <c r="AB34" i="13"/>
  <c r="Y34" i="13"/>
  <c r="W34" i="13"/>
  <c r="S34" i="13"/>
  <c r="U34" i="13" s="1"/>
  <c r="AB33" i="13"/>
  <c r="Y33" i="13"/>
  <c r="Z33" i="13" s="1"/>
  <c r="W33" i="13"/>
  <c r="S33" i="13"/>
  <c r="U33" i="13" s="1"/>
  <c r="AB32" i="13"/>
  <c r="Y32" i="13"/>
  <c r="Z32" i="13" s="1"/>
  <c r="W32" i="13"/>
  <c r="S32" i="13"/>
  <c r="U32" i="13" s="1"/>
  <c r="AB31" i="13"/>
  <c r="Z31" i="13"/>
  <c r="W31" i="13"/>
  <c r="S31" i="13"/>
  <c r="U31" i="13" s="1"/>
  <c r="AB30" i="13"/>
  <c r="Y30" i="13"/>
  <c r="Z30" i="13" s="1"/>
  <c r="W30" i="13"/>
  <c r="S30" i="13"/>
  <c r="U30" i="13" s="1"/>
  <c r="AB29" i="13"/>
  <c r="W29" i="13"/>
  <c r="S29" i="13"/>
  <c r="U29" i="13" s="1"/>
  <c r="AB28" i="13"/>
  <c r="Z28" i="13"/>
  <c r="W28" i="13"/>
  <c r="S28" i="13"/>
  <c r="U28" i="13" s="1"/>
  <c r="AB27" i="13"/>
  <c r="Z27" i="13"/>
  <c r="W27" i="13"/>
  <c r="S27" i="13"/>
  <c r="U27" i="13" s="1"/>
  <c r="AB26" i="13"/>
  <c r="Z26" i="13"/>
  <c r="W26" i="13"/>
  <c r="S26" i="13"/>
  <c r="U26" i="13" s="1"/>
  <c r="AB25" i="13"/>
  <c r="W25" i="13"/>
  <c r="S25" i="13"/>
  <c r="U25" i="13" s="1"/>
  <c r="AB24" i="13"/>
  <c r="W24" i="13"/>
  <c r="S24" i="13"/>
  <c r="U24" i="13" s="1"/>
  <c r="AB23" i="13"/>
  <c r="W23" i="13"/>
  <c r="S23" i="13"/>
  <c r="U23" i="13" s="1"/>
  <c r="AB22" i="13"/>
  <c r="Y22" i="13"/>
  <c r="Z22" i="13" s="1"/>
  <c r="W22" i="13"/>
  <c r="S22" i="13"/>
  <c r="U22" i="13" s="1"/>
  <c r="AB21" i="13"/>
  <c r="Y21" i="13"/>
  <c r="W21" i="13"/>
  <c r="S21" i="13"/>
  <c r="U21" i="13" s="1"/>
  <c r="AB14" i="13"/>
  <c r="Z14" i="13"/>
  <c r="W14" i="13"/>
  <c r="S14" i="13"/>
  <c r="U14" i="13" s="1"/>
  <c r="AB13" i="13"/>
  <c r="W13" i="13"/>
  <c r="S13" i="13"/>
  <c r="U13" i="13" s="1"/>
  <c r="AB12" i="13"/>
  <c r="Y12" i="13"/>
  <c r="Z12" i="13" s="1"/>
  <c r="W12" i="13"/>
  <c r="S12" i="13"/>
  <c r="U12" i="13" s="1"/>
  <c r="AB11" i="13"/>
  <c r="Y11" i="13"/>
  <c r="W11" i="13"/>
  <c r="S11" i="13"/>
  <c r="U11" i="13" s="1"/>
  <c r="AB10" i="13"/>
  <c r="Y10" i="13"/>
  <c r="Z10" i="13" s="1"/>
  <c r="W10" i="13"/>
  <c r="S10" i="13"/>
  <c r="U10" i="13" s="1"/>
  <c r="AB9" i="13"/>
  <c r="Y9" i="13"/>
  <c r="Z9" i="13" s="1"/>
  <c r="W9" i="13"/>
  <c r="S9" i="13"/>
  <c r="U9" i="13" s="1"/>
  <c r="AB8" i="13"/>
  <c r="Y8" i="13"/>
  <c r="Z8" i="13" s="1"/>
  <c r="W8" i="13"/>
  <c r="S8" i="13"/>
  <c r="U8" i="13" s="1"/>
  <c r="AB7" i="13"/>
  <c r="Y7" i="13"/>
  <c r="W7" i="13"/>
  <c r="S7" i="13"/>
  <c r="U7" i="13" s="1"/>
  <c r="Z98" i="12"/>
  <c r="Z88" i="12"/>
  <c r="AJ85" i="12"/>
  <c r="AI85" i="12"/>
  <c r="AH85" i="12"/>
  <c r="AG85" i="12"/>
  <c r="AF85" i="12"/>
  <c r="AB83" i="12"/>
  <c r="Y83" i="12"/>
  <c r="AC83" i="12" s="1"/>
  <c r="W83" i="12"/>
  <c r="S83" i="12"/>
  <c r="U83" i="12" s="1"/>
  <c r="X83" i="12" s="1"/>
  <c r="AB82" i="12"/>
  <c r="Y82" i="12"/>
  <c r="AC82" i="12" s="1"/>
  <c r="W82" i="12"/>
  <c r="S82" i="12"/>
  <c r="U82" i="12" s="1"/>
  <c r="AB81" i="12"/>
  <c r="Y81" i="12"/>
  <c r="AC81" i="12" s="1"/>
  <c r="W81" i="12"/>
  <c r="S81" i="12"/>
  <c r="U81" i="12" s="1"/>
  <c r="X81" i="12" s="1"/>
  <c r="AB80" i="12"/>
  <c r="Y80" i="12"/>
  <c r="Z80" i="12" s="1"/>
  <c r="W80" i="12"/>
  <c r="S80" i="12"/>
  <c r="U80" i="12" s="1"/>
  <c r="AB79" i="12"/>
  <c r="Y79" i="12"/>
  <c r="AC79" i="12" s="1"/>
  <c r="W79" i="12"/>
  <c r="S79" i="12"/>
  <c r="U79" i="12" s="1"/>
  <c r="X79" i="12" s="1"/>
  <c r="AB78" i="12"/>
  <c r="Y78" i="12"/>
  <c r="AC78" i="12" s="1"/>
  <c r="W78" i="12"/>
  <c r="S78" i="12"/>
  <c r="U78" i="12" s="1"/>
  <c r="AB77" i="12"/>
  <c r="Y77" i="12"/>
  <c r="AC77" i="12" s="1"/>
  <c r="W77" i="12"/>
  <c r="S77" i="12"/>
  <c r="U77" i="12" s="1"/>
  <c r="X77" i="12" s="1"/>
  <c r="AB76" i="12"/>
  <c r="Y76" i="12"/>
  <c r="Z76" i="12" s="1"/>
  <c r="W76" i="12"/>
  <c r="S76" i="12"/>
  <c r="U76" i="12" s="1"/>
  <c r="AB75" i="12"/>
  <c r="Y75" i="12"/>
  <c r="AC75" i="12" s="1"/>
  <c r="W75" i="12"/>
  <c r="S75" i="12"/>
  <c r="U75" i="12" s="1"/>
  <c r="X75" i="12" s="1"/>
  <c r="AB74" i="12"/>
  <c r="Y74" i="12"/>
  <c r="AC74" i="12" s="1"/>
  <c r="W74" i="12"/>
  <c r="S74" i="12"/>
  <c r="U74" i="12" s="1"/>
  <c r="AB73" i="12"/>
  <c r="Y73" i="12"/>
  <c r="AC73" i="12" s="1"/>
  <c r="W73" i="12"/>
  <c r="S73" i="12"/>
  <c r="U73" i="12" s="1"/>
  <c r="X73" i="12" s="1"/>
  <c r="AB72" i="12"/>
  <c r="Y72" i="12"/>
  <c r="Z72" i="12" s="1"/>
  <c r="W72" i="12"/>
  <c r="S72" i="12"/>
  <c r="U72" i="12" s="1"/>
  <c r="AB71" i="12"/>
  <c r="Y71" i="12"/>
  <c r="AC71" i="12" s="1"/>
  <c r="W71" i="12"/>
  <c r="S71" i="12"/>
  <c r="U71" i="12" s="1"/>
  <c r="X71" i="12" s="1"/>
  <c r="AB70" i="12"/>
  <c r="Y70" i="12"/>
  <c r="AC70" i="12" s="1"/>
  <c r="W70" i="12"/>
  <c r="S70" i="12"/>
  <c r="U70" i="12" s="1"/>
  <c r="AB69" i="12"/>
  <c r="Y69" i="12"/>
  <c r="AC69" i="12" s="1"/>
  <c r="W69" i="12"/>
  <c r="S69" i="12"/>
  <c r="U69" i="12" s="1"/>
  <c r="X69" i="12" s="1"/>
  <c r="AB68" i="12"/>
  <c r="Y68" i="12"/>
  <c r="Z68" i="12" s="1"/>
  <c r="W68" i="12"/>
  <c r="S68" i="12"/>
  <c r="U68" i="12" s="1"/>
  <c r="AB67" i="12"/>
  <c r="Y67" i="12"/>
  <c r="AC67" i="12" s="1"/>
  <c r="W67" i="12"/>
  <c r="S67" i="12"/>
  <c r="U67" i="12" s="1"/>
  <c r="X67" i="12" s="1"/>
  <c r="AB66" i="12"/>
  <c r="Y66" i="12"/>
  <c r="AC66" i="12" s="1"/>
  <c r="W66" i="12"/>
  <c r="S66" i="12"/>
  <c r="U66" i="12" s="1"/>
  <c r="AB65" i="12"/>
  <c r="Y65" i="12"/>
  <c r="AC65" i="12" s="1"/>
  <c r="W65" i="12"/>
  <c r="S65" i="12"/>
  <c r="U65" i="12" s="1"/>
  <c r="X65" i="12" s="1"/>
  <c r="AB64" i="12"/>
  <c r="Y64" i="12"/>
  <c r="Z64" i="12" s="1"/>
  <c r="W64" i="12"/>
  <c r="S64" i="12"/>
  <c r="U64" i="12" s="1"/>
  <c r="AB63" i="12"/>
  <c r="Y63" i="12"/>
  <c r="AC63" i="12" s="1"/>
  <c r="W63" i="12"/>
  <c r="S63" i="12"/>
  <c r="U63" i="12" s="1"/>
  <c r="X63" i="12" s="1"/>
  <c r="AB62" i="12"/>
  <c r="Y62" i="12"/>
  <c r="AC62" i="12" s="1"/>
  <c r="W62" i="12"/>
  <c r="S62" i="12"/>
  <c r="U62" i="12" s="1"/>
  <c r="AB61" i="12"/>
  <c r="Y61" i="12"/>
  <c r="AC61" i="12" s="1"/>
  <c r="W61" i="12"/>
  <c r="S61" i="12"/>
  <c r="U61" i="12" s="1"/>
  <c r="X61" i="12" s="1"/>
  <c r="AB60" i="12"/>
  <c r="Y60" i="12"/>
  <c r="Z60" i="12" s="1"/>
  <c r="W60" i="12"/>
  <c r="S60" i="12"/>
  <c r="U60" i="12" s="1"/>
  <c r="AB59" i="12"/>
  <c r="Y59" i="12"/>
  <c r="AC59" i="12" s="1"/>
  <c r="W59" i="12"/>
  <c r="S59" i="12"/>
  <c r="U59" i="12" s="1"/>
  <c r="X59" i="12" s="1"/>
  <c r="AB58" i="12"/>
  <c r="Y58" i="12"/>
  <c r="AC58" i="12" s="1"/>
  <c r="W58" i="12"/>
  <c r="S58" i="12"/>
  <c r="U58" i="12" s="1"/>
  <c r="AB57" i="12"/>
  <c r="Y57" i="12"/>
  <c r="AC57" i="12" s="1"/>
  <c r="W57" i="12"/>
  <c r="S57" i="12"/>
  <c r="U57" i="12" s="1"/>
  <c r="X57" i="12" s="1"/>
  <c r="AB56" i="12"/>
  <c r="Y56" i="12"/>
  <c r="Z56" i="12" s="1"/>
  <c r="W56" i="12"/>
  <c r="S56" i="12"/>
  <c r="U56" i="12" s="1"/>
  <c r="AB55" i="12"/>
  <c r="Y55" i="12"/>
  <c r="AC55" i="12" s="1"/>
  <c r="W55" i="12"/>
  <c r="S55" i="12"/>
  <c r="U55" i="12" s="1"/>
  <c r="AB54" i="12"/>
  <c r="Y54" i="12"/>
  <c r="W54" i="12"/>
  <c r="S54" i="12"/>
  <c r="U54" i="12" s="1"/>
  <c r="AB53" i="12"/>
  <c r="Y53" i="12"/>
  <c r="AC53" i="12" s="1"/>
  <c r="W53" i="12"/>
  <c r="S53" i="12"/>
  <c r="U53" i="12" s="1"/>
  <c r="AB52" i="12"/>
  <c r="Y52" i="12"/>
  <c r="Z52" i="12" s="1"/>
  <c r="W52" i="12"/>
  <c r="S52" i="12"/>
  <c r="U52" i="12" s="1"/>
  <c r="AB51" i="12"/>
  <c r="Y51" i="12"/>
  <c r="AC51" i="12" s="1"/>
  <c r="W51" i="12"/>
  <c r="S51" i="12"/>
  <c r="U51" i="12" s="1"/>
  <c r="AB50" i="12"/>
  <c r="Y50" i="12"/>
  <c r="W50" i="12"/>
  <c r="S50" i="12"/>
  <c r="U50" i="12" s="1"/>
  <c r="AB49" i="12"/>
  <c r="Y49" i="12"/>
  <c r="AC49" i="12" s="1"/>
  <c r="W49" i="12"/>
  <c r="S49" i="12"/>
  <c r="U49" i="12" s="1"/>
  <c r="AB48" i="12"/>
  <c r="Y48" i="12"/>
  <c r="Z48" i="12" s="1"/>
  <c r="W48" i="12"/>
  <c r="S48" i="12"/>
  <c r="U48" i="12" s="1"/>
  <c r="AB47" i="12"/>
  <c r="Y47" i="12"/>
  <c r="AC47" i="12" s="1"/>
  <c r="W47" i="12"/>
  <c r="S47" i="12"/>
  <c r="U47" i="12" s="1"/>
  <c r="AB46" i="12"/>
  <c r="Y46" i="12"/>
  <c r="W46" i="12"/>
  <c r="S46" i="12"/>
  <c r="U46" i="12" s="1"/>
  <c r="Q46" i="12"/>
  <c r="AC45" i="12"/>
  <c r="AB45" i="12"/>
  <c r="Z45" i="12"/>
  <c r="Y45" i="12"/>
  <c r="W45" i="12"/>
  <c r="X45" i="12" s="1"/>
  <c r="U45" i="12"/>
  <c r="S45" i="12"/>
  <c r="AB44" i="12"/>
  <c r="AC44" i="12" s="1"/>
  <c r="Z44" i="12"/>
  <c r="Y44" i="12"/>
  <c r="W44" i="12"/>
  <c r="S44" i="12"/>
  <c r="U44" i="12" s="1"/>
  <c r="AC43" i="12"/>
  <c r="AB43" i="12"/>
  <c r="Z43" i="12"/>
  <c r="Y43" i="12"/>
  <c r="W43" i="12"/>
  <c r="S43" i="12"/>
  <c r="U43" i="12" s="1"/>
  <c r="AB42" i="12"/>
  <c r="Y42" i="12"/>
  <c r="W42" i="12"/>
  <c r="U42" i="12"/>
  <c r="S42" i="12"/>
  <c r="AB41" i="12"/>
  <c r="Y41" i="12"/>
  <c r="Z41" i="12" s="1"/>
  <c r="W41" i="12"/>
  <c r="X41" i="12" s="1"/>
  <c r="U41" i="12"/>
  <c r="S41" i="12"/>
  <c r="AB40" i="12"/>
  <c r="AC40" i="12" s="1"/>
  <c r="Z40" i="12"/>
  <c r="Y40" i="12"/>
  <c r="W40" i="12"/>
  <c r="S40" i="12"/>
  <c r="U40" i="12" s="1"/>
  <c r="AC39" i="12"/>
  <c r="AB39" i="12"/>
  <c r="Z39" i="12"/>
  <c r="Y39" i="12"/>
  <c r="W39" i="12"/>
  <c r="S39" i="12"/>
  <c r="U39" i="12" s="1"/>
  <c r="X39" i="12" s="1"/>
  <c r="AD39" i="12" s="1"/>
  <c r="AE39" i="12" s="1"/>
  <c r="AB38" i="12"/>
  <c r="Y38" i="12"/>
  <c r="W38" i="12"/>
  <c r="U38" i="12"/>
  <c r="S38" i="12"/>
  <c r="AB37" i="12"/>
  <c r="Y37" i="12"/>
  <c r="Z37" i="12" s="1"/>
  <c r="X37" i="12"/>
  <c r="W37" i="12"/>
  <c r="U37" i="12"/>
  <c r="S37" i="12"/>
  <c r="AB36" i="12"/>
  <c r="AC36" i="12" s="1"/>
  <c r="Z36" i="12"/>
  <c r="Y36" i="12"/>
  <c r="W36" i="12"/>
  <c r="S36" i="12"/>
  <c r="U36" i="12" s="1"/>
  <c r="X36" i="12" s="1"/>
  <c r="AC35" i="12"/>
  <c r="AB35" i="12"/>
  <c r="Z35" i="12"/>
  <c r="Y35" i="12"/>
  <c r="W35" i="12"/>
  <c r="S35" i="12"/>
  <c r="U35" i="12" s="1"/>
  <c r="AB34" i="12"/>
  <c r="Y34" i="12"/>
  <c r="AC34" i="12" s="1"/>
  <c r="W34" i="12"/>
  <c r="U34" i="12"/>
  <c r="S34" i="12"/>
  <c r="AB33" i="12"/>
  <c r="Y33" i="12"/>
  <c r="Z33" i="12" s="1"/>
  <c r="X33" i="12"/>
  <c r="W33" i="12"/>
  <c r="U33" i="12"/>
  <c r="S33" i="12"/>
  <c r="AB32" i="12"/>
  <c r="AC32" i="12" s="1"/>
  <c r="Z32" i="12"/>
  <c r="Y32" i="12"/>
  <c r="W32" i="12"/>
  <c r="S32" i="12"/>
  <c r="U32" i="12" s="1"/>
  <c r="AB31" i="12"/>
  <c r="AC31" i="12" s="1"/>
  <c r="Z31" i="12"/>
  <c r="Y31" i="12"/>
  <c r="W31" i="12"/>
  <c r="S31" i="12"/>
  <c r="U31" i="12" s="1"/>
  <c r="AB30" i="12"/>
  <c r="Y30" i="12"/>
  <c r="W30" i="12"/>
  <c r="U30" i="12"/>
  <c r="X30" i="12" s="1"/>
  <c r="S30" i="12"/>
  <c r="AB29" i="12"/>
  <c r="Y29" i="12"/>
  <c r="Z29" i="12" s="1"/>
  <c r="W29" i="12"/>
  <c r="X29" i="12" s="1"/>
  <c r="U29" i="12"/>
  <c r="S29" i="12"/>
  <c r="AB28" i="12"/>
  <c r="AC28" i="12" s="1"/>
  <c r="Z28" i="12"/>
  <c r="Y28" i="12"/>
  <c r="W28" i="12"/>
  <c r="S28" i="12"/>
  <c r="U28" i="12" s="1"/>
  <c r="AC27" i="12"/>
  <c r="AB27" i="12"/>
  <c r="Z27" i="12"/>
  <c r="Y27" i="12"/>
  <c r="W27" i="12"/>
  <c r="S27" i="12"/>
  <c r="U27" i="12" s="1"/>
  <c r="AB26" i="12"/>
  <c r="Y26" i="12"/>
  <c r="W26" i="12"/>
  <c r="U26" i="12"/>
  <c r="S26" i="12"/>
  <c r="AB25" i="12"/>
  <c r="Y25" i="12"/>
  <c r="Z25" i="12" s="1"/>
  <c r="W25" i="12"/>
  <c r="X25" i="12" s="1"/>
  <c r="U25" i="12"/>
  <c r="S25" i="12"/>
  <c r="AB24" i="12"/>
  <c r="AC24" i="12" s="1"/>
  <c r="Z24" i="12"/>
  <c r="Y24" i="12"/>
  <c r="W24" i="12"/>
  <c r="S24" i="12"/>
  <c r="U24" i="12" s="1"/>
  <c r="AB23" i="12"/>
  <c r="Y23" i="12"/>
  <c r="W23" i="12"/>
  <c r="S23" i="12"/>
  <c r="U23" i="12" s="1"/>
  <c r="AB22" i="12"/>
  <c r="Y22" i="12"/>
  <c r="AC22" i="12" s="1"/>
  <c r="W22" i="12"/>
  <c r="U22" i="12"/>
  <c r="S22" i="12"/>
  <c r="AB21" i="12"/>
  <c r="Y21" i="12"/>
  <c r="Z21" i="12" s="1"/>
  <c r="X21" i="12"/>
  <c r="W21" i="12"/>
  <c r="U21" i="12"/>
  <c r="S21" i="12"/>
  <c r="AB20" i="12"/>
  <c r="AC20" i="12" s="1"/>
  <c r="Z20" i="12"/>
  <c r="Y20" i="12"/>
  <c r="W20" i="12"/>
  <c r="S20" i="12"/>
  <c r="U20" i="12" s="1"/>
  <c r="AB19" i="12"/>
  <c r="AC19" i="12" s="1"/>
  <c r="Z19" i="12"/>
  <c r="Y19" i="12"/>
  <c r="W19" i="12"/>
  <c r="S19" i="12"/>
  <c r="U19" i="12" s="1"/>
  <c r="AB18" i="12"/>
  <c r="Y18" i="12"/>
  <c r="W18" i="12"/>
  <c r="U18" i="12"/>
  <c r="X18" i="12" s="1"/>
  <c r="S18" i="12"/>
  <c r="AB17" i="12"/>
  <c r="Y17" i="12"/>
  <c r="Z17" i="12" s="1"/>
  <c r="W17" i="12"/>
  <c r="X17" i="12" s="1"/>
  <c r="U17" i="12"/>
  <c r="S17" i="12"/>
  <c r="AB16" i="12"/>
  <c r="AC16" i="12" s="1"/>
  <c r="Z16" i="12"/>
  <c r="Y16" i="12"/>
  <c r="W16" i="12"/>
  <c r="S16" i="12"/>
  <c r="U16" i="12" s="1"/>
  <c r="AC15" i="12"/>
  <c r="AB15" i="12"/>
  <c r="Z15" i="12"/>
  <c r="Y15" i="12"/>
  <c r="W15" i="12"/>
  <c r="S15" i="12"/>
  <c r="U15" i="12" s="1"/>
  <c r="AB14" i="12"/>
  <c r="Y14" i="12"/>
  <c r="W14" i="12"/>
  <c r="U14" i="12"/>
  <c r="S14" i="12"/>
  <c r="AB13" i="12"/>
  <c r="Y13" i="12"/>
  <c r="Z13" i="12" s="1"/>
  <c r="W13" i="12"/>
  <c r="X13" i="12" s="1"/>
  <c r="U13" i="12"/>
  <c r="S13" i="12"/>
  <c r="AB12" i="12"/>
  <c r="AC12" i="12" s="1"/>
  <c r="Z12" i="12"/>
  <c r="Y12" i="12"/>
  <c r="W12" i="12"/>
  <c r="S12" i="12"/>
  <c r="U12" i="12" s="1"/>
  <c r="AC11" i="12"/>
  <c r="AB11" i="12"/>
  <c r="Z11" i="12"/>
  <c r="Y11" i="12"/>
  <c r="W11" i="12"/>
  <c r="S11" i="12"/>
  <c r="U11" i="12" s="1"/>
  <c r="X11" i="12" s="1"/>
  <c r="AB10" i="12"/>
  <c r="Y10" i="12"/>
  <c r="W10" i="12"/>
  <c r="U10" i="12"/>
  <c r="S10" i="12"/>
  <c r="AB9" i="12"/>
  <c r="Y9" i="12"/>
  <c r="Z9" i="12" s="1"/>
  <c r="W9" i="12"/>
  <c r="S9" i="12"/>
  <c r="U9" i="12" s="1"/>
  <c r="AB8" i="12"/>
  <c r="AC8" i="12" s="1"/>
  <c r="Z8" i="12"/>
  <c r="Y8" i="12"/>
  <c r="W8" i="12"/>
  <c r="S8" i="12"/>
  <c r="U8" i="12" s="1"/>
  <c r="AB7" i="12"/>
  <c r="AC7" i="12" s="1"/>
  <c r="Z7" i="12"/>
  <c r="Y7" i="12"/>
  <c r="W7" i="12"/>
  <c r="S7" i="12"/>
  <c r="U7" i="12" s="1"/>
  <c r="AB83" i="11"/>
  <c r="Y83" i="11"/>
  <c r="W83" i="11"/>
  <c r="S83" i="11"/>
  <c r="U83" i="11" s="1"/>
  <c r="X83" i="11" s="1"/>
  <c r="AB82" i="11"/>
  <c r="Y82" i="11"/>
  <c r="W82" i="11"/>
  <c r="S82" i="11"/>
  <c r="U82" i="11" s="1"/>
  <c r="AB81" i="11"/>
  <c r="Y81" i="11"/>
  <c r="Z81" i="11" s="1"/>
  <c r="W81" i="11"/>
  <c r="U81" i="11"/>
  <c r="X81" i="11" s="1"/>
  <c r="S81" i="11"/>
  <c r="AB80" i="11"/>
  <c r="Y80" i="11"/>
  <c r="Z80" i="11" s="1"/>
  <c r="W80" i="11"/>
  <c r="S80" i="11"/>
  <c r="U80" i="11" s="1"/>
  <c r="X80" i="11" s="1"/>
  <c r="AB79" i="11"/>
  <c r="Z79" i="11"/>
  <c r="Y79" i="11"/>
  <c r="AC79" i="11" s="1"/>
  <c r="W79" i="11"/>
  <c r="S79" i="11"/>
  <c r="U79" i="11" s="1"/>
  <c r="AB78" i="11"/>
  <c r="Y78" i="11"/>
  <c r="W78" i="11"/>
  <c r="S78" i="11"/>
  <c r="U78" i="11" s="1"/>
  <c r="AB77" i="11"/>
  <c r="Y77" i="11"/>
  <c r="Z77" i="11" s="1"/>
  <c r="W77" i="11"/>
  <c r="S77" i="11"/>
  <c r="U77" i="11" s="1"/>
  <c r="AB76" i="11"/>
  <c r="AC76" i="11" s="1"/>
  <c r="Y76" i="11"/>
  <c r="Z76" i="11" s="1"/>
  <c r="W76" i="11"/>
  <c r="S76" i="11"/>
  <c r="U76" i="11" s="1"/>
  <c r="AB75" i="11"/>
  <c r="Y75" i="11"/>
  <c r="AC75" i="11" s="1"/>
  <c r="W75" i="11"/>
  <c r="S75" i="11"/>
  <c r="U75" i="11" s="1"/>
  <c r="AB74" i="11"/>
  <c r="Y74" i="11"/>
  <c r="W74" i="11"/>
  <c r="S74" i="11"/>
  <c r="U74" i="11" s="1"/>
  <c r="AB73" i="11"/>
  <c r="Y73" i="11"/>
  <c r="Z73" i="11" s="1"/>
  <c r="W73" i="11"/>
  <c r="U73" i="11"/>
  <c r="S73" i="11"/>
  <c r="AB72" i="11"/>
  <c r="Y72" i="11"/>
  <c r="Z72" i="11" s="1"/>
  <c r="W72" i="11"/>
  <c r="S72" i="11"/>
  <c r="U72" i="11" s="1"/>
  <c r="X72" i="11" s="1"/>
  <c r="AB71" i="11"/>
  <c r="Z71" i="11"/>
  <c r="Y71" i="11"/>
  <c r="W71" i="11"/>
  <c r="S71" i="11"/>
  <c r="U71" i="11" s="1"/>
  <c r="AB70" i="11"/>
  <c r="Y70" i="11"/>
  <c r="W70" i="11"/>
  <c r="S70" i="11"/>
  <c r="U70" i="11" s="1"/>
  <c r="X70" i="11" s="1"/>
  <c r="Y24" i="11"/>
  <c r="AC24" i="11" s="1"/>
  <c r="AB11" i="11"/>
  <c r="Y11" i="11"/>
  <c r="AB24" i="11"/>
  <c r="W24" i="11"/>
  <c r="S24" i="11"/>
  <c r="U24" i="11" s="1"/>
  <c r="W11" i="11"/>
  <c r="S11" i="11"/>
  <c r="U11" i="11" s="1"/>
  <c r="Z98" i="11"/>
  <c r="Z91" i="11"/>
  <c r="Z88" i="11"/>
  <c r="AJ85" i="11"/>
  <c r="AI85" i="11"/>
  <c r="AH85" i="11"/>
  <c r="AG85" i="11"/>
  <c r="AF85" i="11"/>
  <c r="AB69" i="11"/>
  <c r="Y69" i="11"/>
  <c r="W69" i="11"/>
  <c r="S69" i="11"/>
  <c r="U69" i="11" s="1"/>
  <c r="AB68" i="11"/>
  <c r="Y68" i="11"/>
  <c r="Z68" i="11" s="1"/>
  <c r="W68" i="11"/>
  <c r="S68" i="11"/>
  <c r="U68" i="11" s="1"/>
  <c r="AB67" i="11"/>
  <c r="Y67" i="11"/>
  <c r="W67" i="11"/>
  <c r="S67" i="11"/>
  <c r="U67" i="11" s="1"/>
  <c r="AB66" i="11"/>
  <c r="Y66" i="11"/>
  <c r="W66" i="11"/>
  <c r="S66" i="11"/>
  <c r="U66" i="11" s="1"/>
  <c r="AB65" i="11"/>
  <c r="Y65" i="11"/>
  <c r="W65" i="11"/>
  <c r="S65" i="11"/>
  <c r="U65" i="11" s="1"/>
  <c r="AB64" i="11"/>
  <c r="Y64" i="11"/>
  <c r="Z64" i="11" s="1"/>
  <c r="W64" i="11"/>
  <c r="S64" i="11"/>
  <c r="U64" i="11" s="1"/>
  <c r="AB63" i="11"/>
  <c r="Y63" i="11"/>
  <c r="W63" i="11"/>
  <c r="S63" i="11"/>
  <c r="U63" i="11" s="1"/>
  <c r="AB62" i="11"/>
  <c r="Y62" i="11"/>
  <c r="W62" i="11"/>
  <c r="S62" i="11"/>
  <c r="U62" i="11" s="1"/>
  <c r="AB61" i="11"/>
  <c r="Y61" i="11"/>
  <c r="W61" i="11"/>
  <c r="S61" i="11"/>
  <c r="U61" i="11" s="1"/>
  <c r="AB60" i="11"/>
  <c r="Y60" i="11"/>
  <c r="Z60" i="11" s="1"/>
  <c r="W60" i="11"/>
  <c r="S60" i="11"/>
  <c r="U60" i="11" s="1"/>
  <c r="AB59" i="11"/>
  <c r="Y59" i="11"/>
  <c r="W59" i="11"/>
  <c r="S59" i="11"/>
  <c r="U59" i="11" s="1"/>
  <c r="AB58" i="11"/>
  <c r="Y58" i="11"/>
  <c r="W58" i="11"/>
  <c r="S58" i="11"/>
  <c r="U58" i="11" s="1"/>
  <c r="AB57" i="11"/>
  <c r="Y57" i="11"/>
  <c r="W57" i="11"/>
  <c r="S57" i="11"/>
  <c r="U57" i="11" s="1"/>
  <c r="AB56" i="11"/>
  <c r="Y56" i="11"/>
  <c r="Z56" i="11" s="1"/>
  <c r="W56" i="11"/>
  <c r="S56" i="11"/>
  <c r="U56" i="11" s="1"/>
  <c r="AB55" i="11"/>
  <c r="Y55" i="11"/>
  <c r="W55" i="11"/>
  <c r="S55" i="11"/>
  <c r="U55" i="11" s="1"/>
  <c r="AB54" i="11"/>
  <c r="Y54" i="11"/>
  <c r="W54" i="11"/>
  <c r="S54" i="11"/>
  <c r="U54" i="11" s="1"/>
  <c r="AB53" i="11"/>
  <c r="Y53" i="11"/>
  <c r="W53" i="11"/>
  <c r="S53" i="11"/>
  <c r="U53" i="11" s="1"/>
  <c r="AB52" i="11"/>
  <c r="Y52" i="11"/>
  <c r="Z52" i="11" s="1"/>
  <c r="W52" i="11"/>
  <c r="S52" i="11"/>
  <c r="U52" i="11" s="1"/>
  <c r="AB51" i="11"/>
  <c r="Y51" i="11"/>
  <c r="W51" i="11"/>
  <c r="S51" i="11"/>
  <c r="U51" i="11" s="1"/>
  <c r="AB50" i="11"/>
  <c r="Y50" i="11"/>
  <c r="W50" i="11"/>
  <c r="S50" i="11"/>
  <c r="U50" i="11" s="1"/>
  <c r="AB49" i="11"/>
  <c r="Y49" i="11"/>
  <c r="W49" i="11"/>
  <c r="S49" i="11"/>
  <c r="U49" i="11" s="1"/>
  <c r="AB48" i="11"/>
  <c r="Y48" i="11"/>
  <c r="Z48" i="11" s="1"/>
  <c r="W48" i="11"/>
  <c r="S48" i="11"/>
  <c r="U48" i="11" s="1"/>
  <c r="AB47" i="11"/>
  <c r="Y47" i="11"/>
  <c r="W47" i="11"/>
  <c r="S47" i="11"/>
  <c r="U47" i="11" s="1"/>
  <c r="AB46" i="11"/>
  <c r="W46" i="11"/>
  <c r="Q46" i="11"/>
  <c r="Y46" i="11" s="1"/>
  <c r="AB45" i="11"/>
  <c r="Y45" i="11"/>
  <c r="W45" i="11"/>
  <c r="S45" i="11"/>
  <c r="U45" i="11" s="1"/>
  <c r="X45" i="11" s="1"/>
  <c r="AB44" i="11"/>
  <c r="Y44" i="11"/>
  <c r="W44" i="11"/>
  <c r="S44" i="11"/>
  <c r="U44" i="11" s="1"/>
  <c r="X44" i="11" s="1"/>
  <c r="AB43" i="11"/>
  <c r="Y43" i="11"/>
  <c r="W43" i="11"/>
  <c r="S43" i="11"/>
  <c r="U43" i="11" s="1"/>
  <c r="AB42" i="11"/>
  <c r="Y42" i="11"/>
  <c r="W42" i="11"/>
  <c r="S42" i="11"/>
  <c r="U42" i="11" s="1"/>
  <c r="X42" i="11" s="1"/>
  <c r="AB41" i="11"/>
  <c r="Y41" i="11"/>
  <c r="Z41" i="11" s="1"/>
  <c r="W41" i="11"/>
  <c r="S41" i="11"/>
  <c r="U41" i="11" s="1"/>
  <c r="X41" i="11" s="1"/>
  <c r="AB40" i="11"/>
  <c r="Y40" i="11"/>
  <c r="Z40" i="11" s="1"/>
  <c r="W40" i="11"/>
  <c r="S40" i="11"/>
  <c r="U40" i="11" s="1"/>
  <c r="AB39" i="11"/>
  <c r="Y39" i="11"/>
  <c r="Z39" i="11" s="1"/>
  <c r="W39" i="11"/>
  <c r="S39" i="11"/>
  <c r="U39" i="11" s="1"/>
  <c r="AB38" i="11"/>
  <c r="Y38" i="11"/>
  <c r="Z38" i="11" s="1"/>
  <c r="W38" i="11"/>
  <c r="S38" i="11"/>
  <c r="U38" i="11" s="1"/>
  <c r="AB37" i="11"/>
  <c r="Y37" i="11"/>
  <c r="AC37" i="11" s="1"/>
  <c r="W37" i="11"/>
  <c r="S37" i="11"/>
  <c r="U37" i="11" s="1"/>
  <c r="AB36" i="11"/>
  <c r="Y36" i="11"/>
  <c r="AC36" i="11" s="1"/>
  <c r="W36" i="11"/>
  <c r="S36" i="11"/>
  <c r="U36" i="11" s="1"/>
  <c r="AB35" i="11"/>
  <c r="Y35" i="11"/>
  <c r="W35" i="11"/>
  <c r="S35" i="11"/>
  <c r="U35" i="11" s="1"/>
  <c r="AB34" i="11"/>
  <c r="Y34" i="11"/>
  <c r="AC34" i="11" s="1"/>
  <c r="W34" i="11"/>
  <c r="S34" i="11"/>
  <c r="U34" i="11" s="1"/>
  <c r="AB33" i="11"/>
  <c r="Y33" i="11"/>
  <c r="Z33" i="11" s="1"/>
  <c r="W33" i="11"/>
  <c r="S33" i="11"/>
  <c r="U33" i="11" s="1"/>
  <c r="AB32" i="11"/>
  <c r="Y32" i="11"/>
  <c r="Z32" i="11" s="1"/>
  <c r="W32" i="11"/>
  <c r="S32" i="11"/>
  <c r="U32" i="11" s="1"/>
  <c r="AB31" i="11"/>
  <c r="Y31" i="11"/>
  <c r="Z31" i="11" s="1"/>
  <c r="W31" i="11"/>
  <c r="S31" i="11"/>
  <c r="U31" i="11" s="1"/>
  <c r="AB30" i="11"/>
  <c r="Y30" i="11"/>
  <c r="Z30" i="11" s="1"/>
  <c r="W30" i="11"/>
  <c r="S30" i="11"/>
  <c r="U30" i="11" s="1"/>
  <c r="AB29" i="11"/>
  <c r="Y29" i="11"/>
  <c r="W29" i="11"/>
  <c r="S29" i="11"/>
  <c r="U29" i="11" s="1"/>
  <c r="X29" i="11" s="1"/>
  <c r="AB28" i="11"/>
  <c r="Y28" i="11"/>
  <c r="W28" i="11"/>
  <c r="S28" i="11"/>
  <c r="U28" i="11" s="1"/>
  <c r="AB27" i="11"/>
  <c r="Y27" i="11"/>
  <c r="W27" i="11"/>
  <c r="S27" i="11"/>
  <c r="U27" i="11" s="1"/>
  <c r="AB26" i="11"/>
  <c r="Y26" i="11"/>
  <c r="Z26" i="11" s="1"/>
  <c r="W26" i="11"/>
  <c r="S26" i="11"/>
  <c r="U26" i="11" s="1"/>
  <c r="AB25" i="11"/>
  <c r="Y25" i="11"/>
  <c r="Z25" i="11" s="1"/>
  <c r="W25" i="11"/>
  <c r="S25" i="11"/>
  <c r="U25" i="11" s="1"/>
  <c r="AB23" i="11"/>
  <c r="Y23" i="11"/>
  <c r="Z23" i="11" s="1"/>
  <c r="W23" i="11"/>
  <c r="S23" i="11"/>
  <c r="U23" i="11" s="1"/>
  <c r="AB22" i="11"/>
  <c r="AC22" i="11" s="1"/>
  <c r="Z22" i="11"/>
  <c r="Y22" i="11"/>
  <c r="W22" i="11"/>
  <c r="S22" i="11"/>
  <c r="U22" i="11" s="1"/>
  <c r="AB21" i="11"/>
  <c r="Y21" i="11"/>
  <c r="Z21" i="11" s="1"/>
  <c r="W21" i="11"/>
  <c r="S21" i="11"/>
  <c r="U21" i="11" s="1"/>
  <c r="AB20" i="11"/>
  <c r="Y20" i="11"/>
  <c r="Z20" i="11" s="1"/>
  <c r="W20" i="11"/>
  <c r="S20" i="11"/>
  <c r="U20" i="11" s="1"/>
  <c r="AB19" i="11"/>
  <c r="Y19" i="11"/>
  <c r="W19" i="11"/>
  <c r="S19" i="11"/>
  <c r="U19" i="11" s="1"/>
  <c r="AB18" i="11"/>
  <c r="Y18" i="11"/>
  <c r="W18" i="11"/>
  <c r="S18" i="11"/>
  <c r="U18" i="11" s="1"/>
  <c r="AB17" i="11"/>
  <c r="Y17" i="11"/>
  <c r="Z17" i="11" s="1"/>
  <c r="W17" i="11"/>
  <c r="S17" i="11"/>
  <c r="U17" i="11" s="1"/>
  <c r="AB16" i="11"/>
  <c r="Y16" i="11"/>
  <c r="Z16" i="11" s="1"/>
  <c r="W16" i="11"/>
  <c r="S16" i="11"/>
  <c r="U16" i="11" s="1"/>
  <c r="AB15" i="11"/>
  <c r="Y15" i="11"/>
  <c r="W15" i="11"/>
  <c r="S15" i="11"/>
  <c r="U15" i="11" s="1"/>
  <c r="AB14" i="11"/>
  <c r="Y14" i="11"/>
  <c r="W14" i="11"/>
  <c r="S14" i="11"/>
  <c r="U14" i="11" s="1"/>
  <c r="AC13" i="11"/>
  <c r="AB13" i="11"/>
  <c r="Y13" i="11"/>
  <c r="Z13" i="11" s="1"/>
  <c r="W13" i="11"/>
  <c r="S13" i="11"/>
  <c r="U13" i="11" s="1"/>
  <c r="AB12" i="11"/>
  <c r="Y12" i="11"/>
  <c r="Z12" i="11" s="1"/>
  <c r="W12" i="11"/>
  <c r="S12" i="11"/>
  <c r="U12" i="11" s="1"/>
  <c r="AB10" i="11"/>
  <c r="Y10" i="11"/>
  <c r="Z10" i="11" s="1"/>
  <c r="W10" i="11"/>
  <c r="S10" i="11"/>
  <c r="U10" i="11" s="1"/>
  <c r="AB9" i="11"/>
  <c r="Y9" i="11"/>
  <c r="W9" i="11"/>
  <c r="S9" i="11"/>
  <c r="U9" i="11" s="1"/>
  <c r="AB8" i="11"/>
  <c r="Y8" i="11"/>
  <c r="W8" i="11"/>
  <c r="S8" i="11"/>
  <c r="U8" i="11" s="1"/>
  <c r="AB7" i="11"/>
  <c r="Y7" i="11"/>
  <c r="Z7" i="11" s="1"/>
  <c r="W7" i="11"/>
  <c r="S7" i="11"/>
  <c r="U7" i="11" s="1"/>
  <c r="Z93" i="10"/>
  <c r="Z94" i="10" s="1"/>
  <c r="Z95" i="10" s="1"/>
  <c r="Z98" i="10"/>
  <c r="Y12" i="10"/>
  <c r="Y26" i="10"/>
  <c r="Y53" i="10"/>
  <c r="Y51" i="10"/>
  <c r="Z51" i="10" s="1"/>
  <c r="Y59" i="10"/>
  <c r="Z59" i="10" s="1"/>
  <c r="Y72" i="10"/>
  <c r="Y70" i="10"/>
  <c r="Z70" i="10" s="1"/>
  <c r="Z91" i="10"/>
  <c r="Q46" i="10"/>
  <c r="S45" i="10"/>
  <c r="U45" i="10" s="1"/>
  <c r="Y31" i="10"/>
  <c r="Y19" i="10"/>
  <c r="Y17" i="10"/>
  <c r="Z17" i="10" s="1"/>
  <c r="W17" i="10"/>
  <c r="S17" i="10"/>
  <c r="U17" i="10" s="1"/>
  <c r="Y16" i="10"/>
  <c r="W16" i="10"/>
  <c r="S16" i="10"/>
  <c r="U16" i="10" s="1"/>
  <c r="Y14" i="10"/>
  <c r="W14" i="10"/>
  <c r="S14" i="10"/>
  <c r="U14" i="10" s="1"/>
  <c r="Y33" i="10"/>
  <c r="Z33" i="10" s="1"/>
  <c r="W33" i="10"/>
  <c r="S33" i="10"/>
  <c r="U33" i="10" s="1"/>
  <c r="Y13" i="10"/>
  <c r="W13" i="10"/>
  <c r="S13" i="10"/>
  <c r="U13" i="10" s="1"/>
  <c r="W12" i="10"/>
  <c r="X12" i="10" s="1"/>
  <c r="U12" i="10"/>
  <c r="S12" i="10"/>
  <c r="Y10" i="10"/>
  <c r="W10" i="10"/>
  <c r="S10" i="10"/>
  <c r="U10" i="10" s="1"/>
  <c r="Y9" i="10"/>
  <c r="Z9" i="10" s="1"/>
  <c r="W9" i="10"/>
  <c r="S9" i="10"/>
  <c r="U9" i="10" s="1"/>
  <c r="X9" i="10" s="1"/>
  <c r="Y8" i="10"/>
  <c r="Z8" i="10" s="1"/>
  <c r="W8" i="10"/>
  <c r="U8" i="10"/>
  <c r="S8" i="10"/>
  <c r="Y7" i="10"/>
  <c r="W7" i="10"/>
  <c r="U7" i="10"/>
  <c r="S7" i="10"/>
  <c r="Y32" i="10"/>
  <c r="Z32" i="10" s="1"/>
  <c r="W32" i="10"/>
  <c r="S32" i="10"/>
  <c r="U32" i="10" s="1"/>
  <c r="W31" i="10"/>
  <c r="S31" i="10"/>
  <c r="U31" i="10" s="1"/>
  <c r="X31" i="10" s="1"/>
  <c r="Y24" i="10"/>
  <c r="W24" i="10"/>
  <c r="S24" i="10"/>
  <c r="U24" i="10" s="1"/>
  <c r="Y23" i="10"/>
  <c r="W23" i="10"/>
  <c r="S23" i="10"/>
  <c r="U23" i="10" s="1"/>
  <c r="Y22" i="10"/>
  <c r="Z22" i="10" s="1"/>
  <c r="W22" i="10"/>
  <c r="U22" i="10"/>
  <c r="S22" i="10"/>
  <c r="Y21" i="10"/>
  <c r="Z21" i="10" s="1"/>
  <c r="W21" i="10"/>
  <c r="S21" i="10"/>
  <c r="U21" i="10" s="1"/>
  <c r="X21" i="10" s="1"/>
  <c r="Y20" i="10"/>
  <c r="W20" i="10"/>
  <c r="S20" i="10"/>
  <c r="U20" i="10" s="1"/>
  <c r="X20" i="10" s="1"/>
  <c r="S19" i="10"/>
  <c r="U19" i="10" s="1"/>
  <c r="W19" i="10"/>
  <c r="Y28" i="10"/>
  <c r="W28" i="10"/>
  <c r="S28" i="10"/>
  <c r="U28" i="10" s="1"/>
  <c r="X28" i="10" s="1"/>
  <c r="Y27" i="10"/>
  <c r="W27" i="10"/>
  <c r="S27" i="10"/>
  <c r="U27" i="10" s="1"/>
  <c r="X27" i="10" s="1"/>
  <c r="Z26" i="10"/>
  <c r="W26" i="10"/>
  <c r="U26" i="10"/>
  <c r="S26" i="10"/>
  <c r="Y36" i="10"/>
  <c r="AC36" i="10" s="1"/>
  <c r="W36" i="10"/>
  <c r="S36" i="10"/>
  <c r="U36" i="10" s="1"/>
  <c r="Y35" i="10"/>
  <c r="W35" i="10"/>
  <c r="S35" i="10"/>
  <c r="U35" i="10" s="1"/>
  <c r="AB36" i="10"/>
  <c r="AB35" i="10"/>
  <c r="AB34" i="10"/>
  <c r="Y34" i="10"/>
  <c r="Z34" i="10" s="1"/>
  <c r="W34" i="10"/>
  <c r="S34" i="10"/>
  <c r="U34" i="10" s="1"/>
  <c r="AB33" i="10"/>
  <c r="AB32" i="10"/>
  <c r="AC32" i="10" s="1"/>
  <c r="AB31" i="10"/>
  <c r="AC31" i="10" s="1"/>
  <c r="AB30" i="10"/>
  <c r="Y30" i="10"/>
  <c r="Z30" i="10" s="1"/>
  <c r="W30" i="10"/>
  <c r="S30" i="10"/>
  <c r="U30" i="10" s="1"/>
  <c r="AB29" i="10"/>
  <c r="Y29" i="10"/>
  <c r="Z29" i="10" s="1"/>
  <c r="W29" i="10"/>
  <c r="S29" i="10"/>
  <c r="U29" i="10" s="1"/>
  <c r="AB28" i="10"/>
  <c r="Z28" i="10"/>
  <c r="AB27" i="10"/>
  <c r="AB26" i="10"/>
  <c r="AB25" i="10"/>
  <c r="AC25" i="10" s="1"/>
  <c r="Y25" i="10"/>
  <c r="Z25" i="10" s="1"/>
  <c r="W25" i="10"/>
  <c r="S25" i="10"/>
  <c r="U25" i="10" s="1"/>
  <c r="AB24" i="10"/>
  <c r="AB23" i="10"/>
  <c r="AC23" i="10" s="1"/>
  <c r="AB22" i="10"/>
  <c r="AB21" i="10"/>
  <c r="AB20" i="10"/>
  <c r="AB19" i="10"/>
  <c r="AB18" i="10"/>
  <c r="Y18" i="10"/>
  <c r="Z18" i="10" s="1"/>
  <c r="W18" i="10"/>
  <c r="S18" i="10"/>
  <c r="U18" i="10" s="1"/>
  <c r="AB17" i="10"/>
  <c r="AB16" i="10"/>
  <c r="AC16" i="10" s="1"/>
  <c r="Z16" i="10"/>
  <c r="AB15" i="10"/>
  <c r="Y15" i="10"/>
  <c r="AC15" i="10" s="1"/>
  <c r="W15" i="10"/>
  <c r="U15" i="10"/>
  <c r="S15" i="10"/>
  <c r="AB14" i="10"/>
  <c r="AB13" i="10"/>
  <c r="AB12" i="10"/>
  <c r="AB11" i="10"/>
  <c r="Y11" i="10"/>
  <c r="AC11" i="10" s="1"/>
  <c r="W11" i="10"/>
  <c r="U11" i="10"/>
  <c r="S11" i="10"/>
  <c r="AB10" i="10"/>
  <c r="Z10" i="10"/>
  <c r="AB9" i="10"/>
  <c r="AB8" i="10"/>
  <c r="AC8" i="10" s="1"/>
  <c r="Z88" i="10"/>
  <c r="AJ85" i="10"/>
  <c r="AI85" i="10"/>
  <c r="AH85" i="10"/>
  <c r="AG85" i="10"/>
  <c r="AF85" i="10"/>
  <c r="AB83" i="10"/>
  <c r="Y83" i="10"/>
  <c r="Z83" i="10" s="1"/>
  <c r="W83" i="10"/>
  <c r="S83" i="10"/>
  <c r="U83" i="10" s="1"/>
  <c r="AB82" i="10"/>
  <c r="AC82" i="10" s="1"/>
  <c r="Z82" i="10"/>
  <c r="Y82" i="10"/>
  <c r="W82" i="10"/>
  <c r="S82" i="10"/>
  <c r="U82" i="10" s="1"/>
  <c r="AB81" i="10"/>
  <c r="Y81" i="10"/>
  <c r="AC81" i="10" s="1"/>
  <c r="W81" i="10"/>
  <c r="S81" i="10"/>
  <c r="U81" i="10" s="1"/>
  <c r="X81" i="10" s="1"/>
  <c r="AB80" i="10"/>
  <c r="Y80" i="10"/>
  <c r="AC80" i="10" s="1"/>
  <c r="W80" i="10"/>
  <c r="S80" i="10"/>
  <c r="U80" i="10" s="1"/>
  <c r="AB79" i="10"/>
  <c r="Y79" i="10"/>
  <c r="Z79" i="10" s="1"/>
  <c r="W79" i="10"/>
  <c r="S79" i="10"/>
  <c r="U79" i="10" s="1"/>
  <c r="X79" i="10" s="1"/>
  <c r="AB78" i="10"/>
  <c r="Y78" i="10"/>
  <c r="Z78" i="10" s="1"/>
  <c r="W78" i="10"/>
  <c r="S78" i="10"/>
  <c r="U78" i="10" s="1"/>
  <c r="AB77" i="10"/>
  <c r="Z77" i="10"/>
  <c r="Y77" i="10"/>
  <c r="W77" i="10"/>
  <c r="S77" i="10"/>
  <c r="U77" i="10" s="1"/>
  <c r="AB76" i="10"/>
  <c r="Y76" i="10"/>
  <c r="AC76" i="10" s="1"/>
  <c r="W76" i="10"/>
  <c r="U76" i="10"/>
  <c r="S76" i="10"/>
  <c r="AB75" i="10"/>
  <c r="Y75" i="10"/>
  <c r="Z75" i="10" s="1"/>
  <c r="W75" i="10"/>
  <c r="X75" i="10" s="1"/>
  <c r="U75" i="10"/>
  <c r="S75" i="10"/>
  <c r="AB74" i="10"/>
  <c r="Z74" i="10"/>
  <c r="Y74" i="10"/>
  <c r="AC74" i="10" s="1"/>
  <c r="W74" i="10"/>
  <c r="S74" i="10"/>
  <c r="U74" i="10" s="1"/>
  <c r="AB73" i="10"/>
  <c r="AC73" i="10" s="1"/>
  <c r="Z73" i="10"/>
  <c r="Y73" i="10"/>
  <c r="W73" i="10"/>
  <c r="S73" i="10"/>
  <c r="U73" i="10" s="1"/>
  <c r="AB72" i="10"/>
  <c r="W72" i="10"/>
  <c r="S72" i="10"/>
  <c r="U72" i="10" s="1"/>
  <c r="X72" i="10" s="1"/>
  <c r="AB71" i="10"/>
  <c r="Y71" i="10"/>
  <c r="Z71" i="10" s="1"/>
  <c r="W71" i="10"/>
  <c r="X71" i="10" s="1"/>
  <c r="U71" i="10"/>
  <c r="S71" i="10"/>
  <c r="AB70" i="10"/>
  <c r="W70" i="10"/>
  <c r="S70" i="10"/>
  <c r="U70" i="10" s="1"/>
  <c r="AC69" i="10"/>
  <c r="AB69" i="10"/>
  <c r="Z69" i="10"/>
  <c r="Y69" i="10"/>
  <c r="W69" i="10"/>
  <c r="S69" i="10"/>
  <c r="U69" i="10" s="1"/>
  <c r="X69" i="10" s="1"/>
  <c r="AB68" i="10"/>
  <c r="Y68" i="10"/>
  <c r="W68" i="10"/>
  <c r="U68" i="10"/>
  <c r="S68" i="10"/>
  <c r="AB67" i="10"/>
  <c r="Y67" i="10"/>
  <c r="Z67" i="10" s="1"/>
  <c r="X67" i="10"/>
  <c r="W67" i="10"/>
  <c r="U67" i="10"/>
  <c r="S67" i="10"/>
  <c r="AB66" i="10"/>
  <c r="Z66" i="10"/>
  <c r="Y66" i="10"/>
  <c r="W66" i="10"/>
  <c r="S66" i="10"/>
  <c r="U66" i="10" s="1"/>
  <c r="X66" i="10" s="1"/>
  <c r="AB65" i="10"/>
  <c r="AC65" i="10" s="1"/>
  <c r="Z65" i="10"/>
  <c r="Y65" i="10"/>
  <c r="W65" i="10"/>
  <c r="S65" i="10"/>
  <c r="U65" i="10" s="1"/>
  <c r="AB64" i="10"/>
  <c r="Y64" i="10"/>
  <c r="AC64" i="10" s="1"/>
  <c r="W64" i="10"/>
  <c r="U64" i="10"/>
  <c r="S64" i="10"/>
  <c r="AB63" i="10"/>
  <c r="Y63" i="10"/>
  <c r="Z63" i="10" s="1"/>
  <c r="W63" i="10"/>
  <c r="X63" i="10" s="1"/>
  <c r="U63" i="10"/>
  <c r="S63" i="10"/>
  <c r="AB62" i="10"/>
  <c r="Z62" i="10"/>
  <c r="Y62" i="10"/>
  <c r="W62" i="10"/>
  <c r="S62" i="10"/>
  <c r="U62" i="10" s="1"/>
  <c r="AB61" i="10"/>
  <c r="AC61" i="10" s="1"/>
  <c r="Z61" i="10"/>
  <c r="Y61" i="10"/>
  <c r="W61" i="10"/>
  <c r="S61" i="10"/>
  <c r="U61" i="10" s="1"/>
  <c r="AB60" i="10"/>
  <c r="Y60" i="10"/>
  <c r="W60" i="10"/>
  <c r="U60" i="10"/>
  <c r="X60" i="10" s="1"/>
  <c r="S60" i="10"/>
  <c r="AB59" i="10"/>
  <c r="W59" i="10"/>
  <c r="S59" i="10"/>
  <c r="U59" i="10" s="1"/>
  <c r="X59" i="10" s="1"/>
  <c r="AB58" i="10"/>
  <c r="Z58" i="10"/>
  <c r="Y58" i="10"/>
  <c r="W58" i="10"/>
  <c r="S58" i="10"/>
  <c r="U58" i="10" s="1"/>
  <c r="AC57" i="10"/>
  <c r="AB57" i="10"/>
  <c r="Y57" i="10"/>
  <c r="Z57" i="10" s="1"/>
  <c r="W57" i="10"/>
  <c r="S57" i="10"/>
  <c r="U57" i="10" s="1"/>
  <c r="AB56" i="10"/>
  <c r="Y56" i="10"/>
  <c r="W56" i="10"/>
  <c r="S56" i="10"/>
  <c r="U56" i="10" s="1"/>
  <c r="X56" i="10" s="1"/>
  <c r="AB55" i="10"/>
  <c r="Y55" i="10"/>
  <c r="Z55" i="10" s="1"/>
  <c r="W55" i="10"/>
  <c r="S55" i="10"/>
  <c r="U55" i="10" s="1"/>
  <c r="AB54" i="10"/>
  <c r="Z54" i="10"/>
  <c r="Y54" i="10"/>
  <c r="W54" i="10"/>
  <c r="S54" i="10"/>
  <c r="U54" i="10" s="1"/>
  <c r="AC53" i="10"/>
  <c r="AB53" i="10"/>
  <c r="Z53" i="10"/>
  <c r="W53" i="10"/>
  <c r="S53" i="10"/>
  <c r="U53" i="10" s="1"/>
  <c r="AB52" i="10"/>
  <c r="Y52" i="10"/>
  <c r="W52" i="10"/>
  <c r="U52" i="10"/>
  <c r="S52" i="10"/>
  <c r="AB51" i="10"/>
  <c r="W51" i="10"/>
  <c r="X51" i="10" s="1"/>
  <c r="S51" i="10"/>
  <c r="U51" i="10" s="1"/>
  <c r="AB50" i="10"/>
  <c r="Z50" i="10"/>
  <c r="Y50" i="10"/>
  <c r="AC50" i="10" s="1"/>
  <c r="W50" i="10"/>
  <c r="S50" i="10"/>
  <c r="U50" i="10" s="1"/>
  <c r="AB49" i="10"/>
  <c r="AC49" i="10" s="1"/>
  <c r="Y49" i="10"/>
  <c r="Z49" i="10" s="1"/>
  <c r="W49" i="10"/>
  <c r="S49" i="10"/>
  <c r="U49" i="10" s="1"/>
  <c r="AB48" i="10"/>
  <c r="Y48" i="10"/>
  <c r="W48" i="10"/>
  <c r="S48" i="10"/>
  <c r="U48" i="10" s="1"/>
  <c r="AB47" i="10"/>
  <c r="Y47" i="10"/>
  <c r="Z47" i="10" s="1"/>
  <c r="W47" i="10"/>
  <c r="S47" i="10"/>
  <c r="U47" i="10" s="1"/>
  <c r="AB46" i="10"/>
  <c r="Y46" i="10"/>
  <c r="W46" i="10"/>
  <c r="S46" i="10"/>
  <c r="U46" i="10" s="1"/>
  <c r="AB45" i="10"/>
  <c r="W45" i="10"/>
  <c r="AB44" i="10"/>
  <c r="AC44" i="10" s="1"/>
  <c r="Z44" i="10"/>
  <c r="Y44" i="10"/>
  <c r="W44" i="10"/>
  <c r="X44" i="10" s="1"/>
  <c r="U44" i="10"/>
  <c r="S44" i="10"/>
  <c r="AB43" i="10"/>
  <c r="Y43" i="10"/>
  <c r="W43" i="10"/>
  <c r="X43" i="10" s="1"/>
  <c r="U43" i="10"/>
  <c r="S43" i="10"/>
  <c r="AB42" i="10"/>
  <c r="AC42" i="10" s="1"/>
  <c r="Z42" i="10"/>
  <c r="Y42" i="10"/>
  <c r="W42" i="10"/>
  <c r="U42" i="10"/>
  <c r="S42" i="10"/>
  <c r="AB41" i="10"/>
  <c r="AC41" i="10" s="1"/>
  <c r="Z41" i="10"/>
  <c r="Y41" i="10"/>
  <c r="W41" i="10"/>
  <c r="S41" i="10"/>
  <c r="U41" i="10" s="1"/>
  <c r="AB40" i="10"/>
  <c r="Z40" i="10"/>
  <c r="Y40" i="10"/>
  <c r="W40" i="10"/>
  <c r="X40" i="10" s="1"/>
  <c r="U40" i="10"/>
  <c r="S40" i="10"/>
  <c r="AB39" i="10"/>
  <c r="Y39" i="10"/>
  <c r="W39" i="10"/>
  <c r="U39" i="10"/>
  <c r="S39" i="10"/>
  <c r="AB38" i="10"/>
  <c r="AC38" i="10" s="1"/>
  <c r="Z38" i="10"/>
  <c r="Y38" i="10"/>
  <c r="W38" i="10"/>
  <c r="U38" i="10"/>
  <c r="S38" i="10"/>
  <c r="AB37" i="10"/>
  <c r="AC37" i="10" s="1"/>
  <c r="AD37" i="10" s="1"/>
  <c r="AE37" i="10" s="1"/>
  <c r="Z37" i="10"/>
  <c r="Y37" i="10"/>
  <c r="W37" i="10"/>
  <c r="S37" i="10"/>
  <c r="U37" i="10" s="1"/>
  <c r="X37" i="10" s="1"/>
  <c r="AB7" i="10"/>
  <c r="Y72" i="9"/>
  <c r="Y9" i="9"/>
  <c r="Z95" i="9"/>
  <c r="Y62" i="9"/>
  <c r="Z88" i="9"/>
  <c r="Y70" i="9"/>
  <c r="Y57" i="9"/>
  <c r="Z57" i="9" s="1"/>
  <c r="Y69" i="9"/>
  <c r="Y73" i="9"/>
  <c r="Z73" i="9" s="1"/>
  <c r="W73" i="9"/>
  <c r="S73" i="9"/>
  <c r="U73" i="9" s="1"/>
  <c r="W72" i="9"/>
  <c r="S72" i="9"/>
  <c r="U72" i="9" s="1"/>
  <c r="Y71" i="9"/>
  <c r="Z71" i="9" s="1"/>
  <c r="W71" i="9"/>
  <c r="S71" i="9"/>
  <c r="U71" i="9" s="1"/>
  <c r="W70" i="9"/>
  <c r="S70" i="9"/>
  <c r="U70" i="9" s="1"/>
  <c r="W69" i="9"/>
  <c r="S69" i="9"/>
  <c r="U69" i="9" s="1"/>
  <c r="S74" i="9"/>
  <c r="U74" i="9" s="1"/>
  <c r="W74" i="9"/>
  <c r="Y74" i="9"/>
  <c r="AB57" i="9"/>
  <c r="W57" i="9"/>
  <c r="S57" i="9"/>
  <c r="U57" i="9" s="1"/>
  <c r="AB58" i="9"/>
  <c r="Y58" i="9"/>
  <c r="W58" i="9"/>
  <c r="S58" i="9"/>
  <c r="U58" i="9" s="1"/>
  <c r="Y60" i="9"/>
  <c r="W60" i="9"/>
  <c r="S60" i="9"/>
  <c r="U60" i="9" s="1"/>
  <c r="Y59" i="9"/>
  <c r="W59" i="9"/>
  <c r="S59" i="9"/>
  <c r="U59" i="9" s="1"/>
  <c r="Y56" i="9"/>
  <c r="W56" i="9"/>
  <c r="S56" i="9"/>
  <c r="U56" i="9" s="1"/>
  <c r="Y55" i="9"/>
  <c r="Z55" i="9" s="1"/>
  <c r="W55" i="9"/>
  <c r="S55" i="9"/>
  <c r="U55" i="9" s="1"/>
  <c r="Y53" i="9"/>
  <c r="Z53" i="9" s="1"/>
  <c r="W53" i="9"/>
  <c r="S53" i="9"/>
  <c r="U53" i="9" s="1"/>
  <c r="Y52" i="9"/>
  <c r="Z52" i="9" s="1"/>
  <c r="W52" i="9"/>
  <c r="S52" i="9"/>
  <c r="U52" i="9" s="1"/>
  <c r="Y51" i="9"/>
  <c r="W51" i="9"/>
  <c r="S51" i="9"/>
  <c r="U51" i="9" s="1"/>
  <c r="Q46" i="9"/>
  <c r="Y46" i="9" s="1"/>
  <c r="Y49" i="9"/>
  <c r="W49" i="9"/>
  <c r="S49" i="9"/>
  <c r="U49" i="9" s="1"/>
  <c r="Y48" i="9"/>
  <c r="Z48" i="9" s="1"/>
  <c r="W48" i="9"/>
  <c r="S48" i="9"/>
  <c r="U48" i="9" s="1"/>
  <c r="Y47" i="9"/>
  <c r="W47" i="9"/>
  <c r="S47" i="9"/>
  <c r="U47" i="9" s="1"/>
  <c r="W46" i="9"/>
  <c r="Y45" i="9"/>
  <c r="Z45" i="9" s="1"/>
  <c r="W45" i="9"/>
  <c r="S45" i="9"/>
  <c r="U45" i="9" s="1"/>
  <c r="Y43" i="9"/>
  <c r="W43" i="9"/>
  <c r="S43" i="9"/>
  <c r="U43" i="9" s="1"/>
  <c r="Y42" i="9"/>
  <c r="Z42" i="9" s="1"/>
  <c r="W42" i="9"/>
  <c r="S42" i="9"/>
  <c r="U42" i="9" s="1"/>
  <c r="Y13" i="9"/>
  <c r="Z13" i="9" s="1"/>
  <c r="Y40" i="9"/>
  <c r="Z40" i="9" s="1"/>
  <c r="W40" i="9"/>
  <c r="S40" i="9"/>
  <c r="U40" i="9" s="1"/>
  <c r="Y39" i="9"/>
  <c r="W39" i="9"/>
  <c r="S39" i="9"/>
  <c r="U39" i="9" s="1"/>
  <c r="Y38" i="9"/>
  <c r="W38" i="9"/>
  <c r="S38" i="9"/>
  <c r="U38" i="9" s="1"/>
  <c r="Y37" i="9"/>
  <c r="W37" i="9"/>
  <c r="S37" i="9"/>
  <c r="U37" i="9" s="1"/>
  <c r="Y36" i="9"/>
  <c r="W36" i="9"/>
  <c r="S36" i="9"/>
  <c r="U36" i="9" s="1"/>
  <c r="Y35" i="9"/>
  <c r="W35" i="9"/>
  <c r="S35" i="9"/>
  <c r="U35" i="9" s="1"/>
  <c r="Y33" i="9"/>
  <c r="Z33" i="9" s="1"/>
  <c r="W33" i="9"/>
  <c r="S33" i="9"/>
  <c r="U33" i="9" s="1"/>
  <c r="Y31" i="9"/>
  <c r="W31" i="9"/>
  <c r="S31" i="9"/>
  <c r="U31" i="9" s="1"/>
  <c r="Y27" i="9"/>
  <c r="W27" i="9"/>
  <c r="S27" i="9"/>
  <c r="U27" i="9" s="1"/>
  <c r="Y29" i="9"/>
  <c r="W29" i="9"/>
  <c r="S29" i="9"/>
  <c r="U29" i="9" s="1"/>
  <c r="S28" i="9"/>
  <c r="U28" i="9" s="1"/>
  <c r="W28" i="9"/>
  <c r="Y28" i="9"/>
  <c r="Z28" i="9" s="1"/>
  <c r="Y23" i="9"/>
  <c r="Z23" i="9" s="1"/>
  <c r="Y22" i="9"/>
  <c r="Z22" i="9" s="1"/>
  <c r="W22" i="9"/>
  <c r="S22" i="9"/>
  <c r="U22" i="9" s="1"/>
  <c r="Y20" i="9"/>
  <c r="Z20" i="9" s="1"/>
  <c r="W20" i="9"/>
  <c r="S20" i="9"/>
  <c r="U20" i="9" s="1"/>
  <c r="Y19" i="9"/>
  <c r="W19" i="9"/>
  <c r="S19" i="9"/>
  <c r="U19" i="9" s="1"/>
  <c r="Y18" i="9"/>
  <c r="W18" i="9"/>
  <c r="S18" i="9"/>
  <c r="U18" i="9" s="1"/>
  <c r="Y16" i="9"/>
  <c r="W16" i="9"/>
  <c r="S16" i="9"/>
  <c r="U16" i="9" s="1"/>
  <c r="Y15" i="9"/>
  <c r="W15" i="9"/>
  <c r="S15" i="9"/>
  <c r="U15" i="9" s="1"/>
  <c r="Y14" i="9"/>
  <c r="W14" i="9"/>
  <c r="S14" i="9"/>
  <c r="U14" i="9" s="1"/>
  <c r="Y10" i="9"/>
  <c r="Z10" i="9" s="1"/>
  <c r="W10" i="9"/>
  <c r="S10" i="9"/>
  <c r="U10" i="9" s="1"/>
  <c r="W9" i="9"/>
  <c r="S9" i="9"/>
  <c r="U9" i="9" s="1"/>
  <c r="AB83" i="9"/>
  <c r="Y83" i="9"/>
  <c r="W83" i="9"/>
  <c r="S83" i="9"/>
  <c r="U83" i="9" s="1"/>
  <c r="AB82" i="9"/>
  <c r="Y82" i="9"/>
  <c r="Z82" i="9" s="1"/>
  <c r="W82" i="9"/>
  <c r="S82" i="9"/>
  <c r="U82" i="9" s="1"/>
  <c r="AB81" i="9"/>
  <c r="Y81" i="9"/>
  <c r="Z81" i="9" s="1"/>
  <c r="W81" i="9"/>
  <c r="S81" i="9"/>
  <c r="U81" i="9" s="1"/>
  <c r="AB80" i="9"/>
  <c r="Y80" i="9"/>
  <c r="W80" i="9"/>
  <c r="S80" i="9"/>
  <c r="U80" i="9" s="1"/>
  <c r="AB79" i="9"/>
  <c r="Y79" i="9"/>
  <c r="W79" i="9"/>
  <c r="S79" i="9"/>
  <c r="U79" i="9" s="1"/>
  <c r="AB78" i="9"/>
  <c r="Y78" i="9"/>
  <c r="Z78" i="9" s="1"/>
  <c r="W78" i="9"/>
  <c r="S78" i="9"/>
  <c r="U78" i="9" s="1"/>
  <c r="AB77" i="9"/>
  <c r="Y77" i="9"/>
  <c r="Z77" i="9" s="1"/>
  <c r="W77" i="9"/>
  <c r="S77" i="9"/>
  <c r="U77" i="9" s="1"/>
  <c r="AB76" i="9"/>
  <c r="Y76" i="9"/>
  <c r="W76" i="9"/>
  <c r="S76" i="9"/>
  <c r="U76" i="9" s="1"/>
  <c r="AB75" i="9"/>
  <c r="Y75" i="9"/>
  <c r="Z75" i="9" s="1"/>
  <c r="W75" i="9"/>
  <c r="S75" i="9"/>
  <c r="U75" i="9" s="1"/>
  <c r="AB74" i="9"/>
  <c r="AB73" i="9"/>
  <c r="AB72" i="9"/>
  <c r="AB71" i="9"/>
  <c r="AB70" i="9"/>
  <c r="AB69" i="9"/>
  <c r="AB68" i="9"/>
  <c r="Y68" i="9"/>
  <c r="W68" i="9"/>
  <c r="S68" i="9"/>
  <c r="U68" i="9" s="1"/>
  <c r="AB67" i="9"/>
  <c r="Y67" i="9"/>
  <c r="Z67" i="9" s="1"/>
  <c r="W67" i="9"/>
  <c r="S67" i="9"/>
  <c r="U67" i="9" s="1"/>
  <c r="AB66" i="9"/>
  <c r="Y66" i="9"/>
  <c r="Z66" i="9" s="1"/>
  <c r="W66" i="9"/>
  <c r="S66" i="9"/>
  <c r="U66" i="9" s="1"/>
  <c r="AB65" i="9"/>
  <c r="Y65" i="9"/>
  <c r="Z65" i="9" s="1"/>
  <c r="W65" i="9"/>
  <c r="S65" i="9"/>
  <c r="U65" i="9" s="1"/>
  <c r="AB64" i="9"/>
  <c r="Y64" i="9"/>
  <c r="W64" i="9"/>
  <c r="S64" i="9"/>
  <c r="U64" i="9" s="1"/>
  <c r="AB63" i="9"/>
  <c r="Y63" i="9"/>
  <c r="W63" i="9"/>
  <c r="S63" i="9"/>
  <c r="U63" i="9" s="1"/>
  <c r="AB62" i="9"/>
  <c r="W62" i="9"/>
  <c r="S62" i="9"/>
  <c r="U62" i="9" s="1"/>
  <c r="AB61" i="9"/>
  <c r="Y61" i="9"/>
  <c r="Z61" i="9" s="1"/>
  <c r="W61" i="9"/>
  <c r="S61" i="9"/>
  <c r="U61" i="9" s="1"/>
  <c r="AB60" i="9"/>
  <c r="AB59" i="9"/>
  <c r="AB56" i="9"/>
  <c r="AB55" i="9"/>
  <c r="AB54" i="9"/>
  <c r="Y54" i="9"/>
  <c r="Z54" i="9" s="1"/>
  <c r="W54" i="9"/>
  <c r="S54" i="9"/>
  <c r="U54" i="9" s="1"/>
  <c r="AB53" i="9"/>
  <c r="AB52" i="9"/>
  <c r="AB51" i="9"/>
  <c r="AB50" i="9"/>
  <c r="Y50" i="9"/>
  <c r="W50" i="9"/>
  <c r="S50" i="9"/>
  <c r="U50" i="9" s="1"/>
  <c r="AB49" i="9"/>
  <c r="AB48" i="9"/>
  <c r="AB47" i="9"/>
  <c r="AB46" i="9"/>
  <c r="AB45" i="9"/>
  <c r="AB44" i="9"/>
  <c r="Y44" i="9"/>
  <c r="Z44" i="9" s="1"/>
  <c r="W44" i="9"/>
  <c r="S44" i="9"/>
  <c r="U44" i="9" s="1"/>
  <c r="AB43" i="9"/>
  <c r="AB42" i="9"/>
  <c r="AB41" i="9"/>
  <c r="Y41" i="9"/>
  <c r="W41" i="9"/>
  <c r="S41" i="9"/>
  <c r="U41" i="9" s="1"/>
  <c r="AB40" i="9"/>
  <c r="AB39" i="9"/>
  <c r="AB38" i="9"/>
  <c r="AB37" i="9"/>
  <c r="AB36" i="9"/>
  <c r="AB35" i="9"/>
  <c r="AB34" i="9"/>
  <c r="Y34" i="9"/>
  <c r="Z34" i="9" s="1"/>
  <c r="W34" i="9"/>
  <c r="S34" i="9"/>
  <c r="U34" i="9" s="1"/>
  <c r="AB33" i="9"/>
  <c r="AB32" i="9"/>
  <c r="Y32" i="9"/>
  <c r="Z32" i="9" s="1"/>
  <c r="W32" i="9"/>
  <c r="S32" i="9"/>
  <c r="U32" i="9" s="1"/>
  <c r="AB31" i="9"/>
  <c r="AB30" i="9"/>
  <c r="Y30" i="9"/>
  <c r="W30" i="9"/>
  <c r="S30" i="9"/>
  <c r="U30" i="9" s="1"/>
  <c r="AB29" i="9"/>
  <c r="AB28" i="9"/>
  <c r="AB27" i="9"/>
  <c r="AB26" i="9"/>
  <c r="Y26" i="9"/>
  <c r="W26" i="9"/>
  <c r="S26" i="9"/>
  <c r="U26" i="9" s="1"/>
  <c r="AB25" i="9"/>
  <c r="Y25" i="9"/>
  <c r="W25" i="9"/>
  <c r="S25" i="9"/>
  <c r="U25" i="9" s="1"/>
  <c r="AB24" i="9"/>
  <c r="Y24" i="9"/>
  <c r="Z24" i="9" s="1"/>
  <c r="W24" i="9"/>
  <c r="S24" i="9"/>
  <c r="U24" i="9" s="1"/>
  <c r="AB23" i="9"/>
  <c r="W23" i="9"/>
  <c r="S23" i="9"/>
  <c r="U23" i="9" s="1"/>
  <c r="AB22" i="9"/>
  <c r="AB21" i="9"/>
  <c r="Y21" i="9"/>
  <c r="Z21" i="9" s="1"/>
  <c r="W21" i="9"/>
  <c r="S21" i="9"/>
  <c r="U21" i="9" s="1"/>
  <c r="AB20" i="9"/>
  <c r="AB19" i="9"/>
  <c r="AB18" i="9"/>
  <c r="AB17" i="9"/>
  <c r="Y17" i="9"/>
  <c r="W17" i="9"/>
  <c r="S17" i="9"/>
  <c r="U17" i="9" s="1"/>
  <c r="AB16" i="9"/>
  <c r="AB15" i="9"/>
  <c r="AB14" i="9"/>
  <c r="AB13" i="9"/>
  <c r="W13" i="9"/>
  <c r="S13" i="9"/>
  <c r="U13" i="9" s="1"/>
  <c r="AB12" i="9"/>
  <c r="Y12" i="9"/>
  <c r="W12" i="9"/>
  <c r="S12" i="9"/>
  <c r="U12" i="9" s="1"/>
  <c r="AB11" i="9"/>
  <c r="Y11" i="9"/>
  <c r="W11" i="9"/>
  <c r="S11" i="9"/>
  <c r="U11" i="9" s="1"/>
  <c r="AB10" i="9"/>
  <c r="AB9" i="9"/>
  <c r="AB8" i="9"/>
  <c r="Y8" i="9"/>
  <c r="W8" i="9"/>
  <c r="S8" i="9"/>
  <c r="U8" i="9" s="1"/>
  <c r="Z91" i="9"/>
  <c r="AJ85" i="9"/>
  <c r="AI85" i="9"/>
  <c r="AH85" i="9"/>
  <c r="AG85" i="9"/>
  <c r="AF85" i="9"/>
  <c r="AB7" i="9"/>
  <c r="Y7" i="9"/>
  <c r="W7" i="9"/>
  <c r="S7" i="9"/>
  <c r="U7" i="9" s="1"/>
  <c r="Z90" i="8"/>
  <c r="Z87" i="8"/>
  <c r="Y70" i="8"/>
  <c r="Y64" i="8"/>
  <c r="AC46" i="10" l="1"/>
  <c r="AC48" i="10"/>
  <c r="AC77" i="10"/>
  <c r="AD77" i="10" s="1"/>
  <c r="AE77" i="10" s="1"/>
  <c r="X25" i="10"/>
  <c r="X29" i="10"/>
  <c r="X16" i="11"/>
  <c r="X18" i="11"/>
  <c r="X20" i="11"/>
  <c r="X47" i="11"/>
  <c r="X49" i="11"/>
  <c r="X51" i="11"/>
  <c r="X53" i="11"/>
  <c r="X55" i="11"/>
  <c r="X57" i="11"/>
  <c r="X59" i="11"/>
  <c r="X61" i="11"/>
  <c r="X63" i="11"/>
  <c r="X65" i="11"/>
  <c r="X67" i="11"/>
  <c r="X69" i="11"/>
  <c r="X71" i="11"/>
  <c r="AC74" i="11"/>
  <c r="AC78" i="11"/>
  <c r="X82" i="11"/>
  <c r="X7" i="12"/>
  <c r="AD7" i="12" s="1"/>
  <c r="X10" i="12"/>
  <c r="AC14" i="12"/>
  <c r="AD14" i="12" s="1"/>
  <c r="AE14" i="12" s="1"/>
  <c r="X16" i="12"/>
  <c r="X19" i="12"/>
  <c r="AD19" i="12" s="1"/>
  <c r="AE19" i="12" s="1"/>
  <c r="AC23" i="12"/>
  <c r="AC26" i="12"/>
  <c r="X28" i="12"/>
  <c r="AD28" i="12" s="1"/>
  <c r="AE28" i="12" s="1"/>
  <c r="X31" i="12"/>
  <c r="AD31" i="12" s="1"/>
  <c r="AE31" i="12" s="1"/>
  <c r="AD36" i="12"/>
  <c r="AE36" i="12" s="1"/>
  <c r="X38" i="12"/>
  <c r="AD38" i="12" s="1"/>
  <c r="AE38" i="12" s="1"/>
  <c r="AC42" i="12"/>
  <c r="X44" i="12"/>
  <c r="AC46" i="12"/>
  <c r="AC50" i="12"/>
  <c r="AC54" i="12"/>
  <c r="AD54" i="12" s="1"/>
  <c r="AE54" i="12" s="1"/>
  <c r="X12" i="14"/>
  <c r="X23" i="14"/>
  <c r="X31" i="14"/>
  <c r="AD31" i="14" s="1"/>
  <c r="AE31" i="14" s="1"/>
  <c r="X39" i="14"/>
  <c r="X45" i="14"/>
  <c r="X47" i="14"/>
  <c r="X52" i="14"/>
  <c r="X59" i="14"/>
  <c r="AD59" i="14" s="1"/>
  <c r="AE59" i="14" s="1"/>
  <c r="X13" i="15"/>
  <c r="X16" i="15"/>
  <c r="AC19" i="15"/>
  <c r="X21" i="15"/>
  <c r="AC26" i="15"/>
  <c r="X28" i="15"/>
  <c r="X30" i="15"/>
  <c r="X35" i="15"/>
  <c r="AD35" i="15" s="1"/>
  <c r="AE35" i="15" s="1"/>
  <c r="X37" i="15"/>
  <c r="X46" i="15"/>
  <c r="X60" i="15"/>
  <c r="X62" i="15"/>
  <c r="X67" i="15"/>
  <c r="X76" i="15"/>
  <c r="X78" i="15"/>
  <c r="X83" i="15"/>
  <c r="X19" i="13"/>
  <c r="AD76" i="11"/>
  <c r="AE76" i="11" s="1"/>
  <c r="AC56" i="14"/>
  <c r="AD56" i="14" s="1"/>
  <c r="AE56" i="14" s="1"/>
  <c r="X39" i="10"/>
  <c r="X35" i="10"/>
  <c r="AC71" i="11"/>
  <c r="AD71" i="11" s="1"/>
  <c r="AE71" i="11" s="1"/>
  <c r="X73" i="11"/>
  <c r="X75" i="11"/>
  <c r="X77" i="11"/>
  <c r="X79" i="11"/>
  <c r="AC82" i="11"/>
  <c r="AC10" i="12"/>
  <c r="X12" i="12"/>
  <c r="AD12" i="12" s="1"/>
  <c r="AE12" i="12" s="1"/>
  <c r="X15" i="12"/>
  <c r="AD15" i="12" s="1"/>
  <c r="AE15" i="12" s="1"/>
  <c r="X22" i="12"/>
  <c r="AD22" i="12" s="1"/>
  <c r="AE22" i="12" s="1"/>
  <c r="X24" i="12"/>
  <c r="X27" i="12"/>
  <c r="AD27" i="12" s="1"/>
  <c r="AE27" i="12" s="1"/>
  <c r="X34" i="12"/>
  <c r="AC38" i="12"/>
  <c r="X40" i="12"/>
  <c r="AD40" i="12" s="1"/>
  <c r="AE40" i="12" s="1"/>
  <c r="X43" i="12"/>
  <c r="AD43" i="12" s="1"/>
  <c r="AE43" i="12" s="1"/>
  <c r="X47" i="12"/>
  <c r="X49" i="12"/>
  <c r="AD49" i="12" s="1"/>
  <c r="AE49" i="12" s="1"/>
  <c r="X51" i="12"/>
  <c r="X53" i="12"/>
  <c r="X55" i="12"/>
  <c r="AD78" i="14"/>
  <c r="AE78" i="14" s="1"/>
  <c r="X9" i="14"/>
  <c r="X21" i="14"/>
  <c r="X29" i="14"/>
  <c r="X37" i="14"/>
  <c r="AD37" i="14" s="1"/>
  <c r="AE37" i="14" s="1"/>
  <c r="X43" i="14"/>
  <c r="X50" i="14"/>
  <c r="X57" i="14"/>
  <c r="AC59" i="14"/>
  <c r="X64" i="14"/>
  <c r="AC13" i="15"/>
  <c r="AC23" i="15"/>
  <c r="AD23" i="15" s="1"/>
  <c r="AE23" i="15" s="1"/>
  <c r="X25" i="15"/>
  <c r="X32" i="15"/>
  <c r="AC35" i="15"/>
  <c r="AC39" i="15"/>
  <c r="X48" i="15"/>
  <c r="X64" i="15"/>
  <c r="AC67" i="15"/>
  <c r="AD67" i="15" s="1"/>
  <c r="AE67" i="15" s="1"/>
  <c r="X80" i="15"/>
  <c r="AC83" i="15"/>
  <c r="AD83" i="15" s="1"/>
  <c r="AE83" i="15" s="1"/>
  <c r="X10" i="11"/>
  <c r="X13" i="11"/>
  <c r="AC27" i="11"/>
  <c r="X9" i="12"/>
  <c r="X69" i="14"/>
  <c r="X77" i="14"/>
  <c r="X79" i="14"/>
  <c r="X81" i="14"/>
  <c r="X83" i="14"/>
  <c r="X13" i="14"/>
  <c r="X53" i="14"/>
  <c r="X55" i="14"/>
  <c r="X60" i="14"/>
  <c r="X12" i="15"/>
  <c r="AD12" i="15" s="1"/>
  <c r="AE12" i="15" s="1"/>
  <c r="X15" i="15"/>
  <c r="X20" i="15"/>
  <c r="X34" i="15"/>
  <c r="X50" i="15"/>
  <c r="AD50" i="15" s="1"/>
  <c r="AE50" i="15" s="1"/>
  <c r="AC51" i="15"/>
  <c r="AD51" i="15" s="1"/>
  <c r="AE51" i="15" s="1"/>
  <c r="AC55" i="15"/>
  <c r="X66" i="15"/>
  <c r="AC71" i="15"/>
  <c r="X73" i="15"/>
  <c r="AD66" i="15"/>
  <c r="AE66" i="15" s="1"/>
  <c r="AC58" i="10"/>
  <c r="X30" i="10"/>
  <c r="X34" i="10"/>
  <c r="AD75" i="11"/>
  <c r="AE75" i="11" s="1"/>
  <c r="AD11" i="12"/>
  <c r="AE11" i="12" s="1"/>
  <c r="AD45" i="12"/>
  <c r="AE45" i="12" s="1"/>
  <c r="AD30" i="15"/>
  <c r="AE30" i="15" s="1"/>
  <c r="AD46" i="15"/>
  <c r="AE46" i="15" s="1"/>
  <c r="AD62" i="15"/>
  <c r="AE62" i="15" s="1"/>
  <c r="X77" i="15"/>
  <c r="AD78" i="15"/>
  <c r="AE78" i="15" s="1"/>
  <c r="X18" i="13"/>
  <c r="X20" i="13"/>
  <c r="AC17" i="13"/>
  <c r="AD17" i="13" s="1"/>
  <c r="AE17" i="13" s="1"/>
  <c r="AD15" i="15"/>
  <c r="AE15" i="15" s="1"/>
  <c r="AD34" i="15"/>
  <c r="AE34" i="15" s="1"/>
  <c r="X55" i="10"/>
  <c r="X57" i="10"/>
  <c r="X23" i="11"/>
  <c r="X7" i="14"/>
  <c r="AC83" i="14"/>
  <c r="AD83" i="14" s="1"/>
  <c r="AE83" i="14" s="1"/>
  <c r="X44" i="14"/>
  <c r="X51" i="14"/>
  <c r="X58" i="14"/>
  <c r="AD58" i="14" s="1"/>
  <c r="AE58" i="14" s="1"/>
  <c r="AC62" i="14"/>
  <c r="AC27" i="15"/>
  <c r="AC62" i="10"/>
  <c r="AC27" i="10"/>
  <c r="AC20" i="10"/>
  <c r="X32" i="10"/>
  <c r="AC70" i="11"/>
  <c r="X74" i="11"/>
  <c r="AD74" i="11" s="1"/>
  <c r="AE74" i="11" s="1"/>
  <c r="X76" i="11"/>
  <c r="X78" i="11"/>
  <c r="AC83" i="11"/>
  <c r="X8" i="12"/>
  <c r="AD8" i="12" s="1"/>
  <c r="AE8" i="12" s="1"/>
  <c r="X14" i="12"/>
  <c r="AC18" i="12"/>
  <c r="X20" i="12"/>
  <c r="AD20" i="12" s="1"/>
  <c r="AE20" i="12" s="1"/>
  <c r="X23" i="12"/>
  <c r="AD23" i="12" s="1"/>
  <c r="AE23" i="12" s="1"/>
  <c r="AD24" i="12"/>
  <c r="AE24" i="12" s="1"/>
  <c r="X26" i="12"/>
  <c r="AC30" i="12"/>
  <c r="AD30" i="12" s="1"/>
  <c r="AE30" i="12" s="1"/>
  <c r="X32" i="12"/>
  <c r="X35" i="12"/>
  <c r="AD35" i="12" s="1"/>
  <c r="AE35" i="12" s="1"/>
  <c r="X42" i="12"/>
  <c r="X46" i="12"/>
  <c r="AD46" i="12" s="1"/>
  <c r="AE46" i="12" s="1"/>
  <c r="X48" i="12"/>
  <c r="X50" i="12"/>
  <c r="X52" i="12"/>
  <c r="X54" i="12"/>
  <c r="X56" i="12"/>
  <c r="X58" i="12"/>
  <c r="X60" i="12"/>
  <c r="X62" i="12"/>
  <c r="AD62" i="12" s="1"/>
  <c r="AE62" i="12" s="1"/>
  <c r="X64" i="12"/>
  <c r="X66" i="12"/>
  <c r="X68" i="12"/>
  <c r="X70" i="12"/>
  <c r="X72" i="12"/>
  <c r="X74" i="12"/>
  <c r="X76" i="12"/>
  <c r="X78" i="12"/>
  <c r="AD78" i="12" s="1"/>
  <c r="AE78" i="12" s="1"/>
  <c r="X80" i="12"/>
  <c r="X82" i="12"/>
  <c r="AC11" i="14"/>
  <c r="X17" i="14"/>
  <c r="X25" i="14"/>
  <c r="AC27" i="14"/>
  <c r="X33" i="14"/>
  <c r="AC35" i="14"/>
  <c r="AD35" i="14" s="1"/>
  <c r="AE35" i="14" s="1"/>
  <c r="X61" i="14"/>
  <c r="X63" i="14"/>
  <c r="X65" i="14"/>
  <c r="AC9" i="15"/>
  <c r="X11" i="15"/>
  <c r="AD11" i="15" s="1"/>
  <c r="AE11" i="15" s="1"/>
  <c r="X14" i="15"/>
  <c r="X19" i="15"/>
  <c r="X33" i="15"/>
  <c r="AD33" i="15" s="1"/>
  <c r="AE33" i="15" s="1"/>
  <c r="AC38" i="15"/>
  <c r="X49" i="15"/>
  <c r="AD49" i="15" s="1"/>
  <c r="AE49" i="15" s="1"/>
  <c r="X56" i="15"/>
  <c r="X65" i="15"/>
  <c r="AD65" i="15" s="1"/>
  <c r="AE65" i="15" s="1"/>
  <c r="X72" i="15"/>
  <c r="X81" i="15"/>
  <c r="AD81" i="15" s="1"/>
  <c r="AE81" i="15" s="1"/>
  <c r="AC16" i="13"/>
  <c r="X16" i="13"/>
  <c r="AC19" i="13"/>
  <c r="AD19" i="13" s="1"/>
  <c r="AE19" i="13" s="1"/>
  <c r="X17" i="13"/>
  <c r="X15" i="13"/>
  <c r="AC15" i="13"/>
  <c r="AC18" i="13"/>
  <c r="AD18" i="13" s="1"/>
  <c r="AE18" i="13" s="1"/>
  <c r="AD20" i="13"/>
  <c r="AE20" i="13" s="1"/>
  <c r="Z15" i="13"/>
  <c r="Z19" i="13"/>
  <c r="Z16" i="13"/>
  <c r="Z20" i="13"/>
  <c r="Z17" i="13"/>
  <c r="X21" i="13"/>
  <c r="X31" i="13"/>
  <c r="X24" i="13"/>
  <c r="X28" i="13"/>
  <c r="X32" i="13"/>
  <c r="X33" i="13"/>
  <c r="X37" i="13"/>
  <c r="X41" i="13"/>
  <c r="X45" i="13"/>
  <c r="AC47" i="13"/>
  <c r="AC49" i="13"/>
  <c r="AC51" i="13"/>
  <c r="AC53" i="13"/>
  <c r="AC55" i="13"/>
  <c r="AC57" i="13"/>
  <c r="AC59" i="13"/>
  <c r="AC61" i="13"/>
  <c r="AC63" i="13"/>
  <c r="AC65" i="13"/>
  <c r="AC67" i="13"/>
  <c r="AC69" i="13"/>
  <c r="AC71" i="13"/>
  <c r="AC73" i="13"/>
  <c r="AC75" i="13"/>
  <c r="AC77" i="13"/>
  <c r="AC79" i="13"/>
  <c r="AC81" i="13"/>
  <c r="X46" i="13"/>
  <c r="X48" i="13"/>
  <c r="X50" i="13"/>
  <c r="X52" i="13"/>
  <c r="X54" i="13"/>
  <c r="X56" i="13"/>
  <c r="X58" i="13"/>
  <c r="X60" i="13"/>
  <c r="X62" i="13"/>
  <c r="X64" i="13"/>
  <c r="X66" i="13"/>
  <c r="X68" i="13"/>
  <c r="X70" i="13"/>
  <c r="X72" i="13"/>
  <c r="X74" i="13"/>
  <c r="X76" i="13"/>
  <c r="X78" i="13"/>
  <c r="X80" i="13"/>
  <c r="X82" i="13"/>
  <c r="X7" i="13"/>
  <c r="AC44" i="13"/>
  <c r="AC29" i="13"/>
  <c r="X44" i="13"/>
  <c r="AC37" i="13"/>
  <c r="AC43" i="13"/>
  <c r="X8" i="13"/>
  <c r="Y45" i="13"/>
  <c r="AC45" i="13" s="1"/>
  <c r="X9" i="13"/>
  <c r="X23" i="13"/>
  <c r="AC26" i="13"/>
  <c r="X30" i="13"/>
  <c r="X38" i="13"/>
  <c r="AC82" i="13"/>
  <c r="AC21" i="13"/>
  <c r="AC28" i="13"/>
  <c r="X40" i="13"/>
  <c r="X47" i="13"/>
  <c r="X49" i="13"/>
  <c r="X51" i="13"/>
  <c r="AD51" i="13" s="1"/>
  <c r="AE51" i="13" s="1"/>
  <c r="X53" i="13"/>
  <c r="X55" i="13"/>
  <c r="X57" i="13"/>
  <c r="X59" i="13"/>
  <c r="X61" i="13"/>
  <c r="X63" i="13"/>
  <c r="X65" i="13"/>
  <c r="X67" i="13"/>
  <c r="AD67" i="13" s="1"/>
  <c r="AE67" i="13" s="1"/>
  <c r="X69" i="13"/>
  <c r="X71" i="13"/>
  <c r="X73" i="13"/>
  <c r="X75" i="13"/>
  <c r="X77" i="13"/>
  <c r="X79" i="13"/>
  <c r="X81" i="13"/>
  <c r="X10" i="13"/>
  <c r="X14" i="13"/>
  <c r="X29" i="13"/>
  <c r="AC38" i="13"/>
  <c r="AC12" i="13"/>
  <c r="X22" i="13"/>
  <c r="AC7" i="13"/>
  <c r="AC14" i="13"/>
  <c r="AC35" i="13"/>
  <c r="X39" i="13"/>
  <c r="AC8" i="13"/>
  <c r="AC22" i="13"/>
  <c r="AC30" i="13"/>
  <c r="AC39" i="13"/>
  <c r="X12" i="13"/>
  <c r="X26" i="13"/>
  <c r="AC46" i="13"/>
  <c r="AC50" i="13"/>
  <c r="AC54" i="13"/>
  <c r="AC58" i="13"/>
  <c r="AC62" i="13"/>
  <c r="AD62" i="13" s="1"/>
  <c r="AE62" i="13" s="1"/>
  <c r="AC66" i="13"/>
  <c r="AC70" i="13"/>
  <c r="AD70" i="13" s="1"/>
  <c r="AE70" i="13" s="1"/>
  <c r="AC74" i="13"/>
  <c r="AC78" i="13"/>
  <c r="AC11" i="13"/>
  <c r="X13" i="13"/>
  <c r="AC25" i="13"/>
  <c r="X27" i="13"/>
  <c r="AC34" i="13"/>
  <c r="X36" i="13"/>
  <c r="AC42" i="13"/>
  <c r="X35" i="13"/>
  <c r="X43" i="13"/>
  <c r="AD43" i="13" s="1"/>
  <c r="AE43" i="13" s="1"/>
  <c r="AC10" i="13"/>
  <c r="AC24" i="13"/>
  <c r="AC32" i="13"/>
  <c r="AC33" i="13"/>
  <c r="AC41" i="13"/>
  <c r="AD41" i="13" s="1"/>
  <c r="AE41" i="13" s="1"/>
  <c r="X11" i="13"/>
  <c r="X25" i="13"/>
  <c r="X34" i="13"/>
  <c r="X42" i="13"/>
  <c r="Z9" i="15"/>
  <c r="AC29" i="15"/>
  <c r="AD29" i="15" s="1"/>
  <c r="AE29" i="15" s="1"/>
  <c r="AD38" i="15"/>
  <c r="AE38" i="15" s="1"/>
  <c r="Z45" i="15"/>
  <c r="AC45" i="15"/>
  <c r="AD45" i="15" s="1"/>
  <c r="AE45" i="15" s="1"/>
  <c r="AC58" i="15"/>
  <c r="Z58" i="15"/>
  <c r="AD71" i="15"/>
  <c r="AE71" i="15" s="1"/>
  <c r="AC76" i="15"/>
  <c r="AD76" i="15" s="1"/>
  <c r="AE76" i="15" s="1"/>
  <c r="Z76" i="15"/>
  <c r="AD13" i="15"/>
  <c r="AE13" i="15" s="1"/>
  <c r="Z25" i="15"/>
  <c r="AC25" i="15"/>
  <c r="AD25" i="15" s="1"/>
  <c r="AE25" i="15" s="1"/>
  <c r="AC28" i="15"/>
  <c r="AD28" i="15" s="1"/>
  <c r="AE28" i="15" s="1"/>
  <c r="Z28" i="15"/>
  <c r="X39" i="15"/>
  <c r="AD39" i="15" s="1"/>
  <c r="AE39" i="15" s="1"/>
  <c r="Z42" i="15"/>
  <c r="AC42" i="15"/>
  <c r="AD55" i="15"/>
  <c r="AE55" i="15" s="1"/>
  <c r="X57" i="15"/>
  <c r="AC60" i="15"/>
  <c r="AD60" i="15" s="1"/>
  <c r="AE60" i="15" s="1"/>
  <c r="Z60" i="15"/>
  <c r="AC59" i="15"/>
  <c r="AD59" i="15" s="1"/>
  <c r="AE59" i="15" s="1"/>
  <c r="Z59" i="15"/>
  <c r="Z61" i="15"/>
  <c r="AC61" i="15"/>
  <c r="AD61" i="15" s="1"/>
  <c r="AE61" i="15" s="1"/>
  <c r="Z74" i="15"/>
  <c r="AC74" i="15"/>
  <c r="AD74" i="15" s="1"/>
  <c r="AE74" i="15" s="1"/>
  <c r="AD9" i="15"/>
  <c r="AE9" i="15" s="1"/>
  <c r="Z26" i="15"/>
  <c r="AC43" i="15"/>
  <c r="AD43" i="15" s="1"/>
  <c r="AE43" i="15" s="1"/>
  <c r="Z43" i="15"/>
  <c r="AD8" i="15"/>
  <c r="AE8" i="15" s="1"/>
  <c r="AC75" i="15"/>
  <c r="AD75" i="15" s="1"/>
  <c r="AE75" i="15" s="1"/>
  <c r="Z75" i="15"/>
  <c r="AD26" i="15"/>
  <c r="AE26" i="15" s="1"/>
  <c r="AC7" i="15"/>
  <c r="AD27" i="15"/>
  <c r="AE27" i="15" s="1"/>
  <c r="X41" i="15"/>
  <c r="AC44" i="15"/>
  <c r="AD44" i="15" s="1"/>
  <c r="AE44" i="15" s="1"/>
  <c r="Z44" i="15"/>
  <c r="Z77" i="15"/>
  <c r="AC77" i="15"/>
  <c r="AD77" i="15" s="1"/>
  <c r="AE77" i="15" s="1"/>
  <c r="AC24" i="15"/>
  <c r="AD24" i="15" s="1"/>
  <c r="AE24" i="15" s="1"/>
  <c r="Z24" i="15"/>
  <c r="AC72" i="15"/>
  <c r="Z72" i="15"/>
  <c r="Z23" i="15"/>
  <c r="Z38" i="15"/>
  <c r="AC41" i="15"/>
  <c r="AD41" i="15" s="1"/>
  <c r="AE41" i="15" s="1"/>
  <c r="Z54" i="15"/>
  <c r="Z55" i="15"/>
  <c r="AC57" i="15"/>
  <c r="Z70" i="15"/>
  <c r="Z71" i="15"/>
  <c r="AC73" i="15"/>
  <c r="AC20" i="15"/>
  <c r="Z20" i="15"/>
  <c r="AC36" i="15"/>
  <c r="AD36" i="15" s="1"/>
  <c r="AE36" i="15" s="1"/>
  <c r="Z36" i="15"/>
  <c r="AC52" i="15"/>
  <c r="AD52" i="15" s="1"/>
  <c r="AE52" i="15" s="1"/>
  <c r="Z52" i="15"/>
  <c r="AC68" i="15"/>
  <c r="AD68" i="15" s="1"/>
  <c r="AE68" i="15" s="1"/>
  <c r="Z68" i="15"/>
  <c r="AC56" i="15"/>
  <c r="AD56" i="15" s="1"/>
  <c r="AE56" i="15" s="1"/>
  <c r="Z56" i="15"/>
  <c r="Z39" i="15"/>
  <c r="X7" i="15"/>
  <c r="AC10" i="15"/>
  <c r="AD10" i="15" s="1"/>
  <c r="AE10" i="15" s="1"/>
  <c r="AC14" i="15"/>
  <c r="AD14" i="15" s="1"/>
  <c r="AE14" i="15" s="1"/>
  <c r="Z19" i="15"/>
  <c r="AC21" i="15"/>
  <c r="AD21" i="15" s="1"/>
  <c r="AE21" i="15" s="1"/>
  <c r="AC22" i="15"/>
  <c r="AD22" i="15" s="1"/>
  <c r="AE22" i="15" s="1"/>
  <c r="Z35" i="15"/>
  <c r="AC37" i="15"/>
  <c r="AD37" i="15" s="1"/>
  <c r="AE37" i="15" s="1"/>
  <c r="Z51" i="15"/>
  <c r="AC53" i="15"/>
  <c r="AD53" i="15" s="1"/>
  <c r="AE53" i="15" s="1"/>
  <c r="Z67" i="15"/>
  <c r="AC69" i="15"/>
  <c r="AD69" i="15" s="1"/>
  <c r="AE69" i="15" s="1"/>
  <c r="Z83" i="15"/>
  <c r="AC40" i="15"/>
  <c r="AD40" i="15" s="1"/>
  <c r="AE40" i="15" s="1"/>
  <c r="Z40" i="15"/>
  <c r="AC16" i="15"/>
  <c r="AD16" i="15" s="1"/>
  <c r="AE16" i="15" s="1"/>
  <c r="Z16" i="15"/>
  <c r="Z85" i="15" s="1"/>
  <c r="Z90" i="15" s="1"/>
  <c r="Z91" i="15" s="1"/>
  <c r="X26" i="15"/>
  <c r="AC31" i="15"/>
  <c r="AD31" i="15" s="1"/>
  <c r="AE31" i="15" s="1"/>
  <c r="AC32" i="15"/>
  <c r="AD32" i="15" s="1"/>
  <c r="AE32" i="15" s="1"/>
  <c r="Z32" i="15"/>
  <c r="X42" i="15"/>
  <c r="AC47" i="15"/>
  <c r="AD47" i="15" s="1"/>
  <c r="AE47" i="15" s="1"/>
  <c r="AC48" i="15"/>
  <c r="AD48" i="15" s="1"/>
  <c r="AE48" i="15" s="1"/>
  <c r="Z48" i="15"/>
  <c r="X58" i="15"/>
  <c r="AC63" i="15"/>
  <c r="AD63" i="15" s="1"/>
  <c r="AE63" i="15" s="1"/>
  <c r="AC64" i="15"/>
  <c r="Z64" i="15"/>
  <c r="X74" i="15"/>
  <c r="AC79" i="15"/>
  <c r="AD79" i="15" s="1"/>
  <c r="AE79" i="15" s="1"/>
  <c r="AC80" i="15"/>
  <c r="AD80" i="15" s="1"/>
  <c r="AE80" i="15" s="1"/>
  <c r="Z80" i="15"/>
  <c r="AD52" i="14"/>
  <c r="AE52" i="14" s="1"/>
  <c r="AD53" i="14"/>
  <c r="AE53" i="14" s="1"/>
  <c r="AC65" i="14"/>
  <c r="AC38" i="14"/>
  <c r="AD38" i="14" s="1"/>
  <c r="AE38" i="14" s="1"/>
  <c r="AC54" i="14"/>
  <c r="AD54" i="14" s="1"/>
  <c r="AE54" i="14" s="1"/>
  <c r="AC39" i="14"/>
  <c r="AD39" i="14" s="1"/>
  <c r="AE39" i="14" s="1"/>
  <c r="AC33" i="14"/>
  <c r="AD33" i="14" s="1"/>
  <c r="AE33" i="14" s="1"/>
  <c r="AD55" i="14"/>
  <c r="AE55" i="14" s="1"/>
  <c r="X10" i="14"/>
  <c r="X24" i="14"/>
  <c r="AD24" i="14" s="1"/>
  <c r="AE24" i="14" s="1"/>
  <c r="X32" i="14"/>
  <c r="X40" i="14"/>
  <c r="AD11" i="14"/>
  <c r="AE11" i="14" s="1"/>
  <c r="AD74" i="14"/>
  <c r="AE74" i="14" s="1"/>
  <c r="AC66" i="14"/>
  <c r="AD66" i="14" s="1"/>
  <c r="AE66" i="14" s="1"/>
  <c r="AC42" i="14"/>
  <c r="AD42" i="14" s="1"/>
  <c r="AE42" i="14" s="1"/>
  <c r="AC46" i="14"/>
  <c r="AD46" i="14" s="1"/>
  <c r="AE46" i="14" s="1"/>
  <c r="AC51" i="14"/>
  <c r="AC58" i="14"/>
  <c r="AD62" i="14"/>
  <c r="AE62" i="14" s="1"/>
  <c r="AC63" i="14"/>
  <c r="AD63" i="14" s="1"/>
  <c r="AE63" i="14" s="1"/>
  <c r="AD65" i="14"/>
  <c r="AE65" i="14" s="1"/>
  <c r="AC67" i="14"/>
  <c r="AD67" i="14" s="1"/>
  <c r="AE67" i="14" s="1"/>
  <c r="X73" i="14"/>
  <c r="AC74" i="14"/>
  <c r="AC43" i="14"/>
  <c r="AD43" i="14" s="1"/>
  <c r="AE43" i="14" s="1"/>
  <c r="AC75" i="14"/>
  <c r="AC12" i="14"/>
  <c r="AD12" i="14" s="1"/>
  <c r="AE12" i="14" s="1"/>
  <c r="AC28" i="14"/>
  <c r="AD28" i="14" s="1"/>
  <c r="AE28" i="14" s="1"/>
  <c r="AC48" i="14"/>
  <c r="AD48" i="14" s="1"/>
  <c r="AE48" i="14" s="1"/>
  <c r="X75" i="14"/>
  <c r="X82" i="14"/>
  <c r="X8" i="14"/>
  <c r="X14" i="14"/>
  <c r="X22" i="14"/>
  <c r="AD22" i="14" s="1"/>
  <c r="AE22" i="14" s="1"/>
  <c r="X30" i="14"/>
  <c r="X38" i="14"/>
  <c r="AD21" i="14"/>
  <c r="AE21" i="14" s="1"/>
  <c r="Z16" i="14"/>
  <c r="AC16" i="14"/>
  <c r="Z27" i="14"/>
  <c r="Z35" i="14"/>
  <c r="Z39" i="14"/>
  <c r="S16" i="14"/>
  <c r="U16" i="14" s="1"/>
  <c r="X16" i="14" s="1"/>
  <c r="AC18" i="14"/>
  <c r="AD18" i="14" s="1"/>
  <c r="AE18" i="14" s="1"/>
  <c r="AC34" i="14"/>
  <c r="AD34" i="14" s="1"/>
  <c r="AE34" i="14" s="1"/>
  <c r="AC14" i="14"/>
  <c r="AC31" i="14"/>
  <c r="AC22" i="14"/>
  <c r="AC23" i="14"/>
  <c r="AD23" i="14" s="1"/>
  <c r="AE23" i="14" s="1"/>
  <c r="AC20" i="14"/>
  <c r="AD20" i="14" s="1"/>
  <c r="AE20" i="14" s="1"/>
  <c r="AC36" i="14"/>
  <c r="AD36" i="14" s="1"/>
  <c r="AE36" i="14" s="1"/>
  <c r="AC8" i="14"/>
  <c r="AC10" i="14"/>
  <c r="AD10" i="14" s="1"/>
  <c r="AE10" i="14" s="1"/>
  <c r="AD26" i="14"/>
  <c r="AE26" i="14" s="1"/>
  <c r="AD27" i="14"/>
  <c r="AE27" i="14" s="1"/>
  <c r="AD72" i="14"/>
  <c r="AE72" i="14" s="1"/>
  <c r="AC13" i="14"/>
  <c r="AD13" i="14" s="1"/>
  <c r="AE13" i="14" s="1"/>
  <c r="AC71" i="14"/>
  <c r="AD71" i="14" s="1"/>
  <c r="AE71" i="14" s="1"/>
  <c r="Z71" i="14"/>
  <c r="Z46" i="14"/>
  <c r="AC15" i="14"/>
  <c r="AD15" i="14" s="1"/>
  <c r="AE15" i="14" s="1"/>
  <c r="Z56" i="14"/>
  <c r="AC57" i="14"/>
  <c r="AD57" i="14" s="1"/>
  <c r="AE57" i="14" s="1"/>
  <c r="AD70" i="14"/>
  <c r="AE70" i="14" s="1"/>
  <c r="AD80" i="14"/>
  <c r="AE80" i="14" s="1"/>
  <c r="AC19" i="14"/>
  <c r="AD19" i="14" s="1"/>
  <c r="AE19" i="14" s="1"/>
  <c r="AC60" i="14"/>
  <c r="Z60" i="14"/>
  <c r="Z70" i="14"/>
  <c r="AC29" i="14"/>
  <c r="AD29" i="14" s="1"/>
  <c r="AE29" i="14" s="1"/>
  <c r="AC45" i="14"/>
  <c r="AD45" i="14" s="1"/>
  <c r="AE45" i="14" s="1"/>
  <c r="Z49" i="14"/>
  <c r="AC49" i="14"/>
  <c r="AD49" i="14" s="1"/>
  <c r="AE49" i="14" s="1"/>
  <c r="AC79" i="14"/>
  <c r="AC82" i="14"/>
  <c r="AD82" i="14" s="1"/>
  <c r="AE82" i="14" s="1"/>
  <c r="Z82" i="14"/>
  <c r="AC17" i="14"/>
  <c r="AD17" i="14" s="1"/>
  <c r="AE17" i="14" s="1"/>
  <c r="AD47" i="14"/>
  <c r="AE47" i="14" s="1"/>
  <c r="Z58" i="14"/>
  <c r="AD68" i="14"/>
  <c r="AE68" i="14" s="1"/>
  <c r="AC40" i="14"/>
  <c r="Z47" i="14"/>
  <c r="Z68" i="14"/>
  <c r="AC9" i="14"/>
  <c r="Z9" i="14"/>
  <c r="Z11" i="14"/>
  <c r="Z50" i="14"/>
  <c r="AC50" i="14"/>
  <c r="AD50" i="14" s="1"/>
  <c r="AE50" i="14" s="1"/>
  <c r="Z67" i="14"/>
  <c r="AC77" i="14"/>
  <c r="AD77" i="14" s="1"/>
  <c r="AE77" i="14" s="1"/>
  <c r="Z81" i="14"/>
  <c r="AC81" i="14"/>
  <c r="AD81" i="14" s="1"/>
  <c r="AE81" i="14" s="1"/>
  <c r="AC25" i="14"/>
  <c r="AC30" i="14"/>
  <c r="Z8" i="14"/>
  <c r="Z80" i="14"/>
  <c r="Z7" i="14"/>
  <c r="Z59" i="14"/>
  <c r="Z69" i="14"/>
  <c r="AC69" i="14"/>
  <c r="Z79" i="14"/>
  <c r="Z83" i="14"/>
  <c r="AC32" i="14"/>
  <c r="AD32" i="14" s="1"/>
  <c r="AE32" i="14" s="1"/>
  <c r="Z52" i="14"/>
  <c r="AC61" i="14"/>
  <c r="AD61" i="14" s="1"/>
  <c r="AE61" i="14" s="1"/>
  <c r="AC64" i="14"/>
  <c r="Z51" i="14"/>
  <c r="Z62" i="14"/>
  <c r="Z72" i="14"/>
  <c r="AC41" i="14"/>
  <c r="AD41" i="14" s="1"/>
  <c r="AE41" i="14" s="1"/>
  <c r="AC44" i="14"/>
  <c r="AD44" i="14" s="1"/>
  <c r="AE44" i="14" s="1"/>
  <c r="Z64" i="14"/>
  <c r="AC73" i="14"/>
  <c r="AD73" i="14" s="1"/>
  <c r="AE73" i="14" s="1"/>
  <c r="AC76" i="14"/>
  <c r="AD76" i="14" s="1"/>
  <c r="AE76" i="14" s="1"/>
  <c r="AD7" i="14"/>
  <c r="Z93" i="14"/>
  <c r="Z94" i="14" s="1"/>
  <c r="Z95" i="14" s="1"/>
  <c r="AC9" i="13"/>
  <c r="AC13" i="13"/>
  <c r="AC23" i="13"/>
  <c r="AC27" i="13"/>
  <c r="AC31" i="13"/>
  <c r="AC36" i="13"/>
  <c r="AC40" i="13"/>
  <c r="AC48" i="13"/>
  <c r="Z49" i="13"/>
  <c r="AC52" i="13"/>
  <c r="Z53" i="13"/>
  <c r="AC56" i="13"/>
  <c r="Z57" i="13"/>
  <c r="AC60" i="13"/>
  <c r="Z61" i="13"/>
  <c r="AC64" i="13"/>
  <c r="Z65" i="13"/>
  <c r="AC68" i="13"/>
  <c r="Z69" i="13"/>
  <c r="AC72" i="13"/>
  <c r="Z73" i="13"/>
  <c r="AC76" i="13"/>
  <c r="Z77" i="13"/>
  <c r="AC80" i="13"/>
  <c r="Z81" i="13"/>
  <c r="Z7" i="13"/>
  <c r="Z11" i="13"/>
  <c r="Z21" i="13"/>
  <c r="Z25" i="13"/>
  <c r="Z29" i="13"/>
  <c r="Z34" i="13"/>
  <c r="Z38" i="13"/>
  <c r="Z42" i="13"/>
  <c r="Z46" i="13"/>
  <c r="Z50" i="13"/>
  <c r="Z54" i="13"/>
  <c r="Z58" i="13"/>
  <c r="Z62" i="13"/>
  <c r="Z66" i="13"/>
  <c r="Z70" i="13"/>
  <c r="Z74" i="13"/>
  <c r="Z78" i="13"/>
  <c r="Z47" i="13"/>
  <c r="Z51" i="13"/>
  <c r="Z55" i="13"/>
  <c r="Z59" i="13"/>
  <c r="Z63" i="13"/>
  <c r="Z67" i="13"/>
  <c r="Z71" i="13"/>
  <c r="Z75" i="13"/>
  <c r="Z79" i="13"/>
  <c r="Z23" i="12"/>
  <c r="AD66" i="12"/>
  <c r="AE66" i="12" s="1"/>
  <c r="AD82" i="12"/>
  <c r="AE82" i="12" s="1"/>
  <c r="AD10" i="12"/>
  <c r="AE10" i="12" s="1"/>
  <c r="AD50" i="12"/>
  <c r="AE50" i="12" s="1"/>
  <c r="AD58" i="12"/>
  <c r="AE58" i="12" s="1"/>
  <c r="AD70" i="12"/>
  <c r="AE70" i="12" s="1"/>
  <c r="AD74" i="12"/>
  <c r="AE74" i="12" s="1"/>
  <c r="AD26" i="12"/>
  <c r="AE26" i="12" s="1"/>
  <c r="AD16" i="12"/>
  <c r="AE16" i="12" s="1"/>
  <c r="AD32" i="12"/>
  <c r="AE32" i="12" s="1"/>
  <c r="AD42" i="12"/>
  <c r="AE42" i="12" s="1"/>
  <c r="AE7" i="12"/>
  <c r="AD18" i="12"/>
  <c r="AE18" i="12" s="1"/>
  <c r="AD34" i="12"/>
  <c r="AE34" i="12" s="1"/>
  <c r="AD44" i="12"/>
  <c r="AE44" i="12" s="1"/>
  <c r="AD47" i="12"/>
  <c r="AE47" i="12" s="1"/>
  <c r="AD51" i="12"/>
  <c r="AE51" i="12" s="1"/>
  <c r="AD53" i="12"/>
  <c r="AE53" i="12" s="1"/>
  <c r="AD55" i="12"/>
  <c r="AE55" i="12" s="1"/>
  <c r="AD57" i="12"/>
  <c r="AE57" i="12" s="1"/>
  <c r="AD59" i="12"/>
  <c r="AE59" i="12" s="1"/>
  <c r="AD61" i="12"/>
  <c r="AE61" i="12" s="1"/>
  <c r="AD63" i="12"/>
  <c r="AE63" i="12" s="1"/>
  <c r="AD65" i="12"/>
  <c r="AE65" i="12" s="1"/>
  <c r="AD67" i="12"/>
  <c r="AE67" i="12" s="1"/>
  <c r="AD69" i="12"/>
  <c r="AE69" i="12" s="1"/>
  <c r="AD71" i="12"/>
  <c r="AE71" i="12" s="1"/>
  <c r="AD73" i="12"/>
  <c r="AE73" i="12" s="1"/>
  <c r="AD75" i="12"/>
  <c r="AE75" i="12" s="1"/>
  <c r="AD77" i="12"/>
  <c r="AE77" i="12" s="1"/>
  <c r="AD79" i="12"/>
  <c r="AE79" i="12" s="1"/>
  <c r="AD81" i="12"/>
  <c r="AE81" i="12" s="1"/>
  <c r="AD83" i="12"/>
  <c r="AE83" i="12" s="1"/>
  <c r="AC48" i="12"/>
  <c r="AD48" i="12" s="1"/>
  <c r="AE48" i="12" s="1"/>
  <c r="Z49" i="12"/>
  <c r="AC52" i="12"/>
  <c r="AD52" i="12" s="1"/>
  <c r="AE52" i="12" s="1"/>
  <c r="Z53" i="12"/>
  <c r="AC56" i="12"/>
  <c r="AD56" i="12" s="1"/>
  <c r="AE56" i="12" s="1"/>
  <c r="Z57" i="12"/>
  <c r="AC60" i="12"/>
  <c r="AD60" i="12" s="1"/>
  <c r="AE60" i="12" s="1"/>
  <c r="Z61" i="12"/>
  <c r="AC64" i="12"/>
  <c r="AD64" i="12" s="1"/>
  <c r="AE64" i="12" s="1"/>
  <c r="Z65" i="12"/>
  <c r="AC68" i="12"/>
  <c r="AD68" i="12" s="1"/>
  <c r="AE68" i="12" s="1"/>
  <c r="Z69" i="12"/>
  <c r="AC72" i="12"/>
  <c r="AD72" i="12" s="1"/>
  <c r="AE72" i="12" s="1"/>
  <c r="Z73" i="12"/>
  <c r="AC76" i="12"/>
  <c r="AD76" i="12" s="1"/>
  <c r="AE76" i="12" s="1"/>
  <c r="Z77" i="12"/>
  <c r="AC80" i="12"/>
  <c r="AD80" i="12" s="1"/>
  <c r="AE80" i="12" s="1"/>
  <c r="Z81" i="12"/>
  <c r="AC9" i="12"/>
  <c r="AD9" i="12" s="1"/>
  <c r="AE9" i="12" s="1"/>
  <c r="Z10" i="12"/>
  <c r="Z85" i="12" s="1"/>
  <c r="Z90" i="12" s="1"/>
  <c r="Z91" i="12" s="1"/>
  <c r="AC13" i="12"/>
  <c r="AD13" i="12" s="1"/>
  <c r="AE13" i="12" s="1"/>
  <c r="Z14" i="12"/>
  <c r="AC17" i="12"/>
  <c r="AD17" i="12" s="1"/>
  <c r="AE17" i="12" s="1"/>
  <c r="Z18" i="12"/>
  <c r="AC21" i="12"/>
  <c r="AD21" i="12" s="1"/>
  <c r="AE21" i="12" s="1"/>
  <c r="Z22" i="12"/>
  <c r="AC25" i="12"/>
  <c r="AD25" i="12" s="1"/>
  <c r="AE25" i="12" s="1"/>
  <c r="Z26" i="12"/>
  <c r="AC29" i="12"/>
  <c r="AD29" i="12" s="1"/>
  <c r="AE29" i="12" s="1"/>
  <c r="Z30" i="12"/>
  <c r="AC33" i="12"/>
  <c r="AD33" i="12" s="1"/>
  <c r="AE33" i="12" s="1"/>
  <c r="Z34" i="12"/>
  <c r="AC37" i="12"/>
  <c r="AD37" i="12" s="1"/>
  <c r="AE37" i="12" s="1"/>
  <c r="Z38" i="12"/>
  <c r="AC41" i="12"/>
  <c r="AD41" i="12" s="1"/>
  <c r="AE41" i="12" s="1"/>
  <c r="Z42" i="12"/>
  <c r="Z46" i="12"/>
  <c r="Z50" i="12"/>
  <c r="Z54" i="12"/>
  <c r="Z58" i="12"/>
  <c r="Z62" i="12"/>
  <c r="Z66" i="12"/>
  <c r="Z70" i="12"/>
  <c r="Z74" i="12"/>
  <c r="Z78" i="12"/>
  <c r="Z82" i="12"/>
  <c r="Z47" i="12"/>
  <c r="Z51" i="12"/>
  <c r="Z55" i="12"/>
  <c r="Z59" i="12"/>
  <c r="Z63" i="12"/>
  <c r="Z67" i="12"/>
  <c r="Z71" i="12"/>
  <c r="Z75" i="12"/>
  <c r="Z79" i="12"/>
  <c r="Z83" i="12"/>
  <c r="Z93" i="12"/>
  <c r="Z94" i="12" s="1"/>
  <c r="Z95" i="12" s="1"/>
  <c r="Z75" i="11"/>
  <c r="AC80" i="11"/>
  <c r="AD80" i="11" s="1"/>
  <c r="AE80" i="11" s="1"/>
  <c r="AC72" i="11"/>
  <c r="AD72" i="11" s="1"/>
  <c r="AE72" i="11" s="1"/>
  <c r="Z83" i="11"/>
  <c r="AD79" i="11"/>
  <c r="AE79" i="11" s="1"/>
  <c r="AD83" i="11"/>
  <c r="AE83" i="11" s="1"/>
  <c r="AC73" i="11"/>
  <c r="AD73" i="11" s="1"/>
  <c r="AE73" i="11" s="1"/>
  <c r="Z74" i="11"/>
  <c r="AC77" i="11"/>
  <c r="Z78" i="11"/>
  <c r="AC81" i="11"/>
  <c r="AD81" i="11" s="1"/>
  <c r="AE81" i="11" s="1"/>
  <c r="Z82" i="11"/>
  <c r="Z70" i="11"/>
  <c r="AD70" i="11"/>
  <c r="AE70" i="11" s="1"/>
  <c r="AC14" i="11"/>
  <c r="AC38" i="11"/>
  <c r="X24" i="11"/>
  <c r="AD24" i="11" s="1"/>
  <c r="AE24" i="11" s="1"/>
  <c r="AC11" i="11"/>
  <c r="S46" i="11"/>
  <c r="U46" i="11" s="1"/>
  <c r="AC40" i="11"/>
  <c r="AC45" i="11"/>
  <c r="AD45" i="11" s="1"/>
  <c r="AE45" i="11" s="1"/>
  <c r="X7" i="11"/>
  <c r="X9" i="11"/>
  <c r="X12" i="11"/>
  <c r="X40" i="11"/>
  <c r="Z11" i="11"/>
  <c r="Z24" i="11"/>
  <c r="AC31" i="11"/>
  <c r="AD31" i="11" s="1"/>
  <c r="AE31" i="11" s="1"/>
  <c r="AC33" i="11"/>
  <c r="AC9" i="11"/>
  <c r="AD9" i="11" s="1"/>
  <c r="AE9" i="11" s="1"/>
  <c r="X26" i="11"/>
  <c r="X34" i="11"/>
  <c r="X36" i="11"/>
  <c r="AD36" i="11" s="1"/>
  <c r="AE36" i="11" s="1"/>
  <c r="X38" i="11"/>
  <c r="AC30" i="11"/>
  <c r="AD30" i="11" s="1"/>
  <c r="AE30" i="11" s="1"/>
  <c r="X15" i="11"/>
  <c r="AC23" i="11"/>
  <c r="AD23" i="11" s="1"/>
  <c r="AE23" i="11" s="1"/>
  <c r="X21" i="11"/>
  <c r="X25" i="11"/>
  <c r="X28" i="11"/>
  <c r="X37" i="11"/>
  <c r="AC42" i="11"/>
  <c r="AD42" i="11" s="1"/>
  <c r="AE42" i="11" s="1"/>
  <c r="AC44" i="11"/>
  <c r="AD44" i="11" s="1"/>
  <c r="AE44" i="11" s="1"/>
  <c r="X46" i="11"/>
  <c r="AC15" i="11"/>
  <c r="AC19" i="11"/>
  <c r="X30" i="11"/>
  <c r="X39" i="11"/>
  <c r="Z9" i="11"/>
  <c r="X31" i="11"/>
  <c r="Z36" i="11"/>
  <c r="X8" i="11"/>
  <c r="AC16" i="11"/>
  <c r="AD16" i="11" s="1"/>
  <c r="AE16" i="11" s="1"/>
  <c r="AC18" i="11"/>
  <c r="AC20" i="11"/>
  <c r="X22" i="11"/>
  <c r="AD22" i="11" s="1"/>
  <c r="AE22" i="11" s="1"/>
  <c r="AC25" i="11"/>
  <c r="AD25" i="11" s="1"/>
  <c r="AE25" i="11" s="1"/>
  <c r="AC28" i="11"/>
  <c r="X33" i="11"/>
  <c r="X35" i="11"/>
  <c r="AC39" i="11"/>
  <c r="X43" i="11"/>
  <c r="AC8" i="11"/>
  <c r="X14" i="11"/>
  <c r="X19" i="11"/>
  <c r="X27" i="11"/>
  <c r="AD27" i="11" s="1"/>
  <c r="AE27" i="11" s="1"/>
  <c r="AC35" i="11"/>
  <c r="AC43" i="11"/>
  <c r="AC12" i="11"/>
  <c r="AD12" i="11" s="1"/>
  <c r="AE12" i="11" s="1"/>
  <c r="AD37" i="11"/>
  <c r="AE37" i="11" s="1"/>
  <c r="AC41" i="11"/>
  <c r="AD41" i="11" s="1"/>
  <c r="AE41" i="11" s="1"/>
  <c r="AD13" i="11"/>
  <c r="AE13" i="11" s="1"/>
  <c r="Z37" i="11"/>
  <c r="AC10" i="11"/>
  <c r="AD10" i="11" s="1"/>
  <c r="AE10" i="11" s="1"/>
  <c r="AC17" i="11"/>
  <c r="AC21" i="11"/>
  <c r="AC26" i="11"/>
  <c r="AD26" i="11" s="1"/>
  <c r="AE26" i="11" s="1"/>
  <c r="AC29" i="11"/>
  <c r="AD29" i="11" s="1"/>
  <c r="AE29" i="11" s="1"/>
  <c r="AC46" i="11"/>
  <c r="X48" i="11"/>
  <c r="X50" i="11"/>
  <c r="X52" i="11"/>
  <c r="X54" i="11"/>
  <c r="X56" i="11"/>
  <c r="X58" i="11"/>
  <c r="X60" i="11"/>
  <c r="X62" i="11"/>
  <c r="X64" i="11"/>
  <c r="X66" i="11"/>
  <c r="X68" i="11"/>
  <c r="X11" i="11"/>
  <c r="AC7" i="11"/>
  <c r="AC32" i="11"/>
  <c r="AD38" i="11"/>
  <c r="AE38" i="11" s="1"/>
  <c r="Z8" i="11"/>
  <c r="Z18" i="11"/>
  <c r="Z19" i="11"/>
  <c r="Z34" i="11"/>
  <c r="Z35" i="11"/>
  <c r="AC50" i="11"/>
  <c r="AC54" i="11"/>
  <c r="AC58" i="11"/>
  <c r="AC62" i="11"/>
  <c r="AD62" i="11" s="1"/>
  <c r="AE62" i="11" s="1"/>
  <c r="AC66" i="11"/>
  <c r="Z15" i="11"/>
  <c r="Z28" i="11"/>
  <c r="Z29" i="11"/>
  <c r="Z44" i="11"/>
  <c r="Z45" i="11"/>
  <c r="Z14" i="11"/>
  <c r="Z27" i="11"/>
  <c r="Z42" i="11"/>
  <c r="Z43" i="11"/>
  <c r="AC47" i="11"/>
  <c r="AD47" i="11" s="1"/>
  <c r="AE47" i="11" s="1"/>
  <c r="AC49" i="11"/>
  <c r="AD49" i="11" s="1"/>
  <c r="AE49" i="11" s="1"/>
  <c r="AC51" i="11"/>
  <c r="AC53" i="11"/>
  <c r="AD53" i="11" s="1"/>
  <c r="AE53" i="11" s="1"/>
  <c r="AC55" i="11"/>
  <c r="AD55" i="11" s="1"/>
  <c r="AE55" i="11" s="1"/>
  <c r="AC57" i="11"/>
  <c r="AD57" i="11" s="1"/>
  <c r="AE57" i="11" s="1"/>
  <c r="AC59" i="11"/>
  <c r="AC61" i="11"/>
  <c r="AC63" i="11"/>
  <c r="AD63" i="11" s="1"/>
  <c r="AE63" i="11" s="1"/>
  <c r="AC65" i="11"/>
  <c r="AD65" i="11" s="1"/>
  <c r="AE65" i="11" s="1"/>
  <c r="AC67" i="11"/>
  <c r="AC69" i="11"/>
  <c r="AD69" i="11" s="1"/>
  <c r="AE69" i="11" s="1"/>
  <c r="Z93" i="11"/>
  <c r="Z94" i="11" s="1"/>
  <c r="Z95" i="11" s="1"/>
  <c r="X17" i="11"/>
  <c r="X32" i="11"/>
  <c r="AD50" i="11"/>
  <c r="AE50" i="11" s="1"/>
  <c r="AD18" i="11"/>
  <c r="AE18" i="11" s="1"/>
  <c r="AD34" i="11"/>
  <c r="AE34" i="11" s="1"/>
  <c r="AD59" i="11"/>
  <c r="AE59" i="11" s="1"/>
  <c r="AC48" i="11"/>
  <c r="Z49" i="11"/>
  <c r="AC52" i="11"/>
  <c r="Z53" i="11"/>
  <c r="AC56" i="11"/>
  <c r="Z57" i="11"/>
  <c r="AC60" i="11"/>
  <c r="Z61" i="11"/>
  <c r="AC64" i="11"/>
  <c r="Z65" i="11"/>
  <c r="AC68" i="11"/>
  <c r="Z69" i="11"/>
  <c r="Z46" i="11"/>
  <c r="Z50" i="11"/>
  <c r="Z54" i="11"/>
  <c r="Z58" i="11"/>
  <c r="Z62" i="11"/>
  <c r="Z66" i="11"/>
  <c r="Z47" i="11"/>
  <c r="Z51" i="11"/>
  <c r="Z55" i="11"/>
  <c r="Z59" i="11"/>
  <c r="Z63" i="11"/>
  <c r="Z67" i="11"/>
  <c r="AC70" i="10"/>
  <c r="X38" i="10"/>
  <c r="AD38" i="10" s="1"/>
  <c r="AE38" i="10" s="1"/>
  <c r="X41" i="10"/>
  <c r="AD41" i="10" s="1"/>
  <c r="AE41" i="10" s="1"/>
  <c r="X42" i="10"/>
  <c r="AD42" i="10" s="1"/>
  <c r="AE42" i="10" s="1"/>
  <c r="X47" i="10"/>
  <c r="X49" i="10"/>
  <c r="AD49" i="10" s="1"/>
  <c r="AE49" i="10" s="1"/>
  <c r="X52" i="10"/>
  <c r="AC60" i="10"/>
  <c r="AD60" i="10" s="1"/>
  <c r="AE60" i="10" s="1"/>
  <c r="X62" i="10"/>
  <c r="X65" i="10"/>
  <c r="AD65" i="10" s="1"/>
  <c r="AE65" i="10" s="1"/>
  <c r="AC66" i="10"/>
  <c r="X74" i="10"/>
  <c r="X77" i="10"/>
  <c r="X26" i="10"/>
  <c r="X24" i="10"/>
  <c r="X17" i="10"/>
  <c r="AC52" i="10"/>
  <c r="X54" i="10"/>
  <c r="X61" i="10"/>
  <c r="AD61" i="10" s="1"/>
  <c r="AE61" i="10" s="1"/>
  <c r="X68" i="10"/>
  <c r="X73" i="10"/>
  <c r="AD73" i="10" s="1"/>
  <c r="AE73" i="10" s="1"/>
  <c r="X83" i="10"/>
  <c r="AD25" i="10"/>
  <c r="AE25" i="10" s="1"/>
  <c r="X19" i="10"/>
  <c r="AD19" i="10" s="1"/>
  <c r="AE19" i="10" s="1"/>
  <c r="X22" i="10"/>
  <c r="AC24" i="10"/>
  <c r="X7" i="10"/>
  <c r="X14" i="10"/>
  <c r="AD69" i="10"/>
  <c r="AE69" i="10" s="1"/>
  <c r="AC35" i="10"/>
  <c r="AD35" i="10" s="1"/>
  <c r="AE35" i="10" s="1"/>
  <c r="AC19" i="10"/>
  <c r="X46" i="10"/>
  <c r="AD46" i="10" s="1"/>
  <c r="AE46" i="10" s="1"/>
  <c r="X48" i="10"/>
  <c r="AD48" i="10" s="1"/>
  <c r="AE48" i="10" s="1"/>
  <c r="AC54" i="10"/>
  <c r="X58" i="10"/>
  <c r="AD58" i="10" s="1"/>
  <c r="AE58" i="10" s="1"/>
  <c r="X64" i="10"/>
  <c r="AD64" i="10" s="1"/>
  <c r="AE64" i="10" s="1"/>
  <c r="AC68" i="10"/>
  <c r="X70" i="10"/>
  <c r="X76" i="10"/>
  <c r="X11" i="10"/>
  <c r="AD11" i="10" s="1"/>
  <c r="AE11" i="10" s="1"/>
  <c r="X15" i="10"/>
  <c r="AD15" i="10" s="1"/>
  <c r="AE15" i="10" s="1"/>
  <c r="X18" i="10"/>
  <c r="X36" i="10"/>
  <c r="AD36" i="10" s="1"/>
  <c r="AE36" i="10" s="1"/>
  <c r="AC7" i="10"/>
  <c r="AD7" i="10" s="1"/>
  <c r="X10" i="10"/>
  <c r="X13" i="10"/>
  <c r="AC40" i="10"/>
  <c r="AD40" i="10" s="1"/>
  <c r="AE40" i="10" s="1"/>
  <c r="X50" i="10"/>
  <c r="AD50" i="10" s="1"/>
  <c r="AE50" i="10" s="1"/>
  <c r="X53" i="10"/>
  <c r="AC56" i="10"/>
  <c r="X78" i="10"/>
  <c r="AD78" i="10" s="1"/>
  <c r="AE78" i="10" s="1"/>
  <c r="X80" i="10"/>
  <c r="X82" i="10"/>
  <c r="AD82" i="10" s="1"/>
  <c r="AE82" i="10" s="1"/>
  <c r="X23" i="10"/>
  <c r="X16" i="10"/>
  <c r="AC72" i="10"/>
  <c r="AD72" i="10" s="1"/>
  <c r="AE72" i="10" s="1"/>
  <c r="X8" i="10"/>
  <c r="AD8" i="10" s="1"/>
  <c r="AE8" i="10" s="1"/>
  <c r="X45" i="10"/>
  <c r="X33" i="10"/>
  <c r="Z81" i="10"/>
  <c r="AC78" i="10"/>
  <c r="AD80" i="10"/>
  <c r="AE80" i="10" s="1"/>
  <c r="Z46" i="10"/>
  <c r="Y45" i="10"/>
  <c r="AD16" i="10"/>
  <c r="AE16" i="10" s="1"/>
  <c r="AC17" i="10"/>
  <c r="AD17" i="10" s="1"/>
  <c r="AE17" i="10" s="1"/>
  <c r="Z13" i="10"/>
  <c r="Z14" i="10"/>
  <c r="Z12" i="10"/>
  <c r="AC12" i="10"/>
  <c r="AD12" i="10" s="1"/>
  <c r="AE12" i="10" s="1"/>
  <c r="AC13" i="10"/>
  <c r="AD13" i="10" s="1"/>
  <c r="AE13" i="10" s="1"/>
  <c r="AC9" i="10"/>
  <c r="AD9" i="10" s="1"/>
  <c r="AE9" i="10" s="1"/>
  <c r="AC53" i="9"/>
  <c r="S46" i="9"/>
  <c r="U46" i="9" s="1"/>
  <c r="AC33" i="10"/>
  <c r="AD33" i="10" s="1"/>
  <c r="AE33" i="10" s="1"/>
  <c r="AD31" i="10"/>
  <c r="AE31" i="10" s="1"/>
  <c r="Z24" i="10"/>
  <c r="AC21" i="10"/>
  <c r="AD21" i="10" s="1"/>
  <c r="AE21" i="10" s="1"/>
  <c r="AD20" i="10"/>
  <c r="AE20" i="10" s="1"/>
  <c r="AD23" i="10"/>
  <c r="AE23" i="10" s="1"/>
  <c r="Z20" i="10"/>
  <c r="AC29" i="10"/>
  <c r="AD29" i="10" s="1"/>
  <c r="AE29" i="10" s="1"/>
  <c r="AC28" i="10"/>
  <c r="Z36" i="10"/>
  <c r="AD28" i="10"/>
  <c r="AE28" i="10" s="1"/>
  <c r="AD27" i="10"/>
  <c r="AE27" i="10" s="1"/>
  <c r="AD32" i="10"/>
  <c r="AE32" i="10" s="1"/>
  <c r="AC10" i="10"/>
  <c r="AD10" i="10" s="1"/>
  <c r="AE10" i="10" s="1"/>
  <c r="Z11" i="10"/>
  <c r="AC14" i="10"/>
  <c r="Z15" i="10"/>
  <c r="AC18" i="10"/>
  <c r="Z19" i="10"/>
  <c r="AC22" i="10"/>
  <c r="Z23" i="10"/>
  <c r="AC26" i="10"/>
  <c r="Z27" i="10"/>
  <c r="AC30" i="10"/>
  <c r="AD30" i="10" s="1"/>
  <c r="AE30" i="10" s="1"/>
  <c r="Z31" i="10"/>
  <c r="AC34" i="10"/>
  <c r="AD34" i="10" s="1"/>
  <c r="AE34" i="10" s="1"/>
  <c r="Z35" i="10"/>
  <c r="Z7" i="10"/>
  <c r="AC39" i="10"/>
  <c r="AD39" i="10" s="1"/>
  <c r="AE39" i="10" s="1"/>
  <c r="Z39" i="10"/>
  <c r="AD57" i="10"/>
  <c r="AE57" i="10" s="1"/>
  <c r="AD70" i="10"/>
  <c r="AE70" i="10" s="1"/>
  <c r="Z43" i="10"/>
  <c r="AC43" i="10"/>
  <c r="AD43" i="10" s="1"/>
  <c r="AE43" i="10" s="1"/>
  <c r="AD44" i="10"/>
  <c r="AE44" i="10" s="1"/>
  <c r="AD56" i="10"/>
  <c r="AE56" i="10" s="1"/>
  <c r="AD66" i="10"/>
  <c r="AE66" i="10" s="1"/>
  <c r="AD81" i="10"/>
  <c r="AE81" i="10" s="1"/>
  <c r="AD62" i="10"/>
  <c r="AE62" i="10" s="1"/>
  <c r="AD53" i="10"/>
  <c r="AE53" i="10" s="1"/>
  <c r="AD76" i="10"/>
  <c r="AE76" i="10" s="1"/>
  <c r="AD74" i="10"/>
  <c r="AE74" i="10" s="1"/>
  <c r="AC47" i="10"/>
  <c r="Z48" i="10"/>
  <c r="AC51" i="10"/>
  <c r="AD51" i="10" s="1"/>
  <c r="AE51" i="10" s="1"/>
  <c r="Z52" i="10"/>
  <c r="AC55" i="10"/>
  <c r="AD55" i="10" s="1"/>
  <c r="AE55" i="10" s="1"/>
  <c r="Z56" i="10"/>
  <c r="AC59" i="10"/>
  <c r="AD59" i="10" s="1"/>
  <c r="AE59" i="10" s="1"/>
  <c r="Z60" i="10"/>
  <c r="AC63" i="10"/>
  <c r="AD63" i="10" s="1"/>
  <c r="AE63" i="10" s="1"/>
  <c r="Z64" i="10"/>
  <c r="AC67" i="10"/>
  <c r="AD67" i="10" s="1"/>
  <c r="AE67" i="10" s="1"/>
  <c r="Z68" i="10"/>
  <c r="AC71" i="10"/>
  <c r="AD71" i="10" s="1"/>
  <c r="AE71" i="10" s="1"/>
  <c r="Z72" i="10"/>
  <c r="AC75" i="10"/>
  <c r="AD75" i="10" s="1"/>
  <c r="AE75" i="10" s="1"/>
  <c r="Z76" i="10"/>
  <c r="AC79" i="10"/>
  <c r="AD79" i="10" s="1"/>
  <c r="AE79" i="10" s="1"/>
  <c r="Z80" i="10"/>
  <c r="AC83" i="10"/>
  <c r="AD83" i="10" s="1"/>
  <c r="AE83" i="10" s="1"/>
  <c r="X15" i="9"/>
  <c r="X37" i="9"/>
  <c r="X43" i="9"/>
  <c r="X58" i="9"/>
  <c r="AC35" i="9"/>
  <c r="AC74" i="9"/>
  <c r="AC29" i="9"/>
  <c r="AC39" i="9"/>
  <c r="AC62" i="9"/>
  <c r="X64" i="9"/>
  <c r="X66" i="9"/>
  <c r="X68" i="9"/>
  <c r="AC18" i="9"/>
  <c r="X10" i="9"/>
  <c r="X35" i="9"/>
  <c r="X59" i="9"/>
  <c r="AC58" i="9"/>
  <c r="X74" i="9"/>
  <c r="AC64" i="9"/>
  <c r="AC68" i="9"/>
  <c r="AD68" i="9" s="1"/>
  <c r="AE68" i="9" s="1"/>
  <c r="X79" i="9"/>
  <c r="X32" i="9"/>
  <c r="X50" i="9"/>
  <c r="X54" i="9"/>
  <c r="X61" i="9"/>
  <c r="X65" i="9"/>
  <c r="X11" i="9"/>
  <c r="X13" i="9"/>
  <c r="X40" i="9"/>
  <c r="X47" i="9"/>
  <c r="AC49" i="9"/>
  <c r="X53" i="9"/>
  <c r="X71" i="9"/>
  <c r="X75" i="9"/>
  <c r="X81" i="9"/>
  <c r="X48" i="9"/>
  <c r="X55" i="9"/>
  <c r="X57" i="9"/>
  <c r="AC25" i="9"/>
  <c r="AC60" i="9"/>
  <c r="X70" i="9"/>
  <c r="X73" i="9"/>
  <c r="X62" i="9"/>
  <c r="X21" i="9"/>
  <c r="X60" i="9"/>
  <c r="AC46" i="9"/>
  <c r="X24" i="9"/>
  <c r="X26" i="9"/>
  <c r="AC26" i="9"/>
  <c r="AC30" i="9"/>
  <c r="AC41" i="9"/>
  <c r="AC50" i="9"/>
  <c r="AC79" i="9"/>
  <c r="AC83" i="9"/>
  <c r="X14" i="9"/>
  <c r="X36" i="9"/>
  <c r="X42" i="9"/>
  <c r="AC51" i="9"/>
  <c r="AC57" i="9"/>
  <c r="X8" i="9"/>
  <c r="AC11" i="9"/>
  <c r="AC22" i="9"/>
  <c r="X34" i="9"/>
  <c r="AC31" i="9"/>
  <c r="X39" i="9"/>
  <c r="X46" i="9"/>
  <c r="X52" i="9"/>
  <c r="X72" i="9"/>
  <c r="X23" i="9"/>
  <c r="X25" i="9"/>
  <c r="X76" i="9"/>
  <c r="X78" i="9"/>
  <c r="X80" i="9"/>
  <c r="X82" i="9"/>
  <c r="X9" i="9"/>
  <c r="AC14" i="9"/>
  <c r="X33" i="9"/>
  <c r="X49" i="9"/>
  <c r="X56" i="9"/>
  <c r="X69" i="9"/>
  <c r="Z58" i="9"/>
  <c r="AC77" i="9"/>
  <c r="AC37" i="9"/>
  <c r="AC42" i="9"/>
  <c r="AC66" i="9"/>
  <c r="AC8" i="9"/>
  <c r="X12" i="9"/>
  <c r="X41" i="9"/>
  <c r="X20" i="9"/>
  <c r="X31" i="9"/>
  <c r="X38" i="9"/>
  <c r="X45" i="9"/>
  <c r="X51" i="9"/>
  <c r="AC44" i="9"/>
  <c r="X28" i="9"/>
  <c r="X18" i="9"/>
  <c r="X29" i="9"/>
  <c r="AC33" i="9"/>
  <c r="AC32" i="9"/>
  <c r="X7" i="9"/>
  <c r="AC13" i="9"/>
  <c r="X44" i="9"/>
  <c r="AD44" i="9" s="1"/>
  <c r="AE44" i="9" s="1"/>
  <c r="AC45" i="9"/>
  <c r="AC54" i="9"/>
  <c r="X63" i="9"/>
  <c r="X77" i="9"/>
  <c r="AD77" i="9" s="1"/>
  <c r="AE77" i="9" s="1"/>
  <c r="AC78" i="9"/>
  <c r="AC9" i="9"/>
  <c r="X19" i="9"/>
  <c r="X27" i="9"/>
  <c r="AC65" i="9"/>
  <c r="X22" i="9"/>
  <c r="AC15" i="9"/>
  <c r="AD15" i="9" s="1"/>
  <c r="AE15" i="9" s="1"/>
  <c r="AC67" i="9"/>
  <c r="Z14" i="9"/>
  <c r="AC7" i="9"/>
  <c r="AC10" i="9"/>
  <c r="AC12" i="9"/>
  <c r="AC63" i="9"/>
  <c r="X67" i="9"/>
  <c r="AC72" i="9"/>
  <c r="AC75" i="9"/>
  <c r="X83" i="9"/>
  <c r="X16" i="9"/>
  <c r="AC19" i="9"/>
  <c r="AC34" i="9"/>
  <c r="AC21" i="9"/>
  <c r="Z25" i="9"/>
  <c r="Z9" i="9"/>
  <c r="AC59" i="9"/>
  <c r="Z59" i="9"/>
  <c r="Z56" i="9"/>
  <c r="AC56" i="9"/>
  <c r="AC80" i="9"/>
  <c r="Z80" i="9"/>
  <c r="Z15" i="9"/>
  <c r="X17" i="9"/>
  <c r="Z46" i="9"/>
  <c r="AC38" i="9"/>
  <c r="Z38" i="9"/>
  <c r="Z35" i="9"/>
  <c r="AC70" i="9"/>
  <c r="Z70" i="9"/>
  <c r="Z79" i="9"/>
  <c r="Z36" i="9"/>
  <c r="AC36" i="9"/>
  <c r="AC27" i="9"/>
  <c r="Z27" i="9"/>
  <c r="Z11" i="9"/>
  <c r="Z16" i="9"/>
  <c r="AC16" i="9"/>
  <c r="AC24" i="9"/>
  <c r="AC47" i="9"/>
  <c r="Z47" i="9"/>
  <c r="Z68" i="9"/>
  <c r="Z37" i="9"/>
  <c r="Z26" i="9"/>
  <c r="AC17" i="9"/>
  <c r="Z17" i="9"/>
  <c r="X30" i="9"/>
  <c r="Z69" i="9"/>
  <c r="AC69" i="9"/>
  <c r="Z49" i="9"/>
  <c r="Z8" i="9"/>
  <c r="Z12" i="9"/>
  <c r="Z18" i="9"/>
  <c r="Z29" i="9"/>
  <c r="Z50" i="9"/>
  <c r="Z62" i="9"/>
  <c r="Z30" i="9"/>
  <c r="Z51" i="9"/>
  <c r="AC61" i="9"/>
  <c r="AC71" i="9"/>
  <c r="AC82" i="9"/>
  <c r="Z60" i="9"/>
  <c r="Z39" i="9"/>
  <c r="AC48" i="9"/>
  <c r="Z72" i="9"/>
  <c r="AC81" i="9"/>
  <c r="Z83" i="9"/>
  <c r="Z19" i="9"/>
  <c r="AC28" i="9"/>
  <c r="Z41" i="9"/>
  <c r="Z63" i="9"/>
  <c r="Z74" i="9"/>
  <c r="Z31" i="9"/>
  <c r="AC40" i="9"/>
  <c r="AC43" i="9"/>
  <c r="Z64" i="9"/>
  <c r="AC73" i="9"/>
  <c r="AC76" i="9"/>
  <c r="AC20" i="9"/>
  <c r="AC23" i="9"/>
  <c r="Z43" i="9"/>
  <c r="AC52" i="9"/>
  <c r="AC55" i="9"/>
  <c r="Z76" i="9"/>
  <c r="Z7" i="9"/>
  <c r="Y61" i="8"/>
  <c r="Y67" i="8"/>
  <c r="W67" i="8"/>
  <c r="X67" i="8" s="1"/>
  <c r="U67" i="8"/>
  <c r="S67" i="8"/>
  <c r="Y60" i="8"/>
  <c r="Z60" i="8" s="1"/>
  <c r="Y59" i="8"/>
  <c r="Y50" i="8"/>
  <c r="W50" i="8"/>
  <c r="Y58" i="8"/>
  <c r="Y54" i="8"/>
  <c r="Z54" i="8" s="1"/>
  <c r="Y43" i="8"/>
  <c r="S43" i="8"/>
  <c r="U43" i="8" s="1"/>
  <c r="Y51" i="8"/>
  <c r="Y35" i="8"/>
  <c r="Y34" i="8"/>
  <c r="Y36" i="8"/>
  <c r="Z36" i="8" s="1"/>
  <c r="Y22" i="8"/>
  <c r="Y10" i="8"/>
  <c r="Y8" i="8"/>
  <c r="AB28" i="8"/>
  <c r="Y28" i="8"/>
  <c r="W28" i="8"/>
  <c r="S28" i="8"/>
  <c r="U28" i="8" s="1"/>
  <c r="Y14" i="8"/>
  <c r="AJ84" i="8"/>
  <c r="AI84" i="8"/>
  <c r="AH84" i="8"/>
  <c r="AG84" i="8"/>
  <c r="AF84" i="8"/>
  <c r="AB82" i="8"/>
  <c r="Y82" i="8"/>
  <c r="W82" i="8"/>
  <c r="S82" i="8"/>
  <c r="U82" i="8" s="1"/>
  <c r="AB81" i="8"/>
  <c r="Y81" i="8"/>
  <c r="W81" i="8"/>
  <c r="S81" i="8"/>
  <c r="U81" i="8" s="1"/>
  <c r="AB80" i="8"/>
  <c r="AC80" i="8" s="1"/>
  <c r="Y80" i="8"/>
  <c r="Z80" i="8" s="1"/>
  <c r="W80" i="8"/>
  <c r="U80" i="8"/>
  <c r="S80" i="8"/>
  <c r="AB79" i="8"/>
  <c r="Y79" i="8"/>
  <c r="W79" i="8"/>
  <c r="U79" i="8"/>
  <c r="S79" i="8"/>
  <c r="AB78" i="8"/>
  <c r="Z78" i="8"/>
  <c r="Y78" i="8"/>
  <c r="W78" i="8"/>
  <c r="S78" i="8"/>
  <c r="U78" i="8" s="1"/>
  <c r="AB77" i="8"/>
  <c r="Z77" i="8"/>
  <c r="Y77" i="8"/>
  <c r="W77" i="8"/>
  <c r="S77" i="8"/>
  <c r="U77" i="8" s="1"/>
  <c r="AB76" i="8"/>
  <c r="AC76" i="8" s="1"/>
  <c r="Y76" i="8"/>
  <c r="Z76" i="8" s="1"/>
  <c r="W76" i="8"/>
  <c r="U76" i="8"/>
  <c r="S76" i="8"/>
  <c r="AB75" i="8"/>
  <c r="Y75" i="8"/>
  <c r="W75" i="8"/>
  <c r="S75" i="8"/>
  <c r="U75" i="8" s="1"/>
  <c r="AB74" i="8"/>
  <c r="Z74" i="8"/>
  <c r="Y74" i="8"/>
  <c r="W74" i="8"/>
  <c r="S74" i="8"/>
  <c r="U74" i="8" s="1"/>
  <c r="AB73" i="8"/>
  <c r="Y73" i="8"/>
  <c r="W73" i="8"/>
  <c r="S73" i="8"/>
  <c r="U73" i="8" s="1"/>
  <c r="AB72" i="8"/>
  <c r="AC72" i="8" s="1"/>
  <c r="Y72" i="8"/>
  <c r="Z72" i="8" s="1"/>
  <c r="W72" i="8"/>
  <c r="S72" i="8"/>
  <c r="U72" i="8" s="1"/>
  <c r="AB71" i="8"/>
  <c r="Y71" i="8"/>
  <c r="W71" i="8"/>
  <c r="U71" i="8"/>
  <c r="S71" i="8"/>
  <c r="AB70" i="8"/>
  <c r="Z70" i="8"/>
  <c r="W70" i="8"/>
  <c r="S70" i="8"/>
  <c r="U70" i="8" s="1"/>
  <c r="AB69" i="8"/>
  <c r="Y69" i="8"/>
  <c r="W69" i="8"/>
  <c r="S69" i="8"/>
  <c r="U69" i="8" s="1"/>
  <c r="AB68" i="8"/>
  <c r="Y68" i="8"/>
  <c r="Z68" i="8" s="1"/>
  <c r="W68" i="8"/>
  <c r="S68" i="8"/>
  <c r="U68" i="8" s="1"/>
  <c r="AB67" i="8"/>
  <c r="AB66" i="8"/>
  <c r="Z66" i="8"/>
  <c r="Y66" i="8"/>
  <c r="W66" i="8"/>
  <c r="S66" i="8"/>
  <c r="U66" i="8" s="1"/>
  <c r="AB65" i="8"/>
  <c r="Y65" i="8"/>
  <c r="W65" i="8"/>
  <c r="S65" i="8"/>
  <c r="U65" i="8" s="1"/>
  <c r="AB64" i="8"/>
  <c r="Z64" i="8"/>
  <c r="W64" i="8"/>
  <c r="S64" i="8"/>
  <c r="U64" i="8" s="1"/>
  <c r="AB63" i="8"/>
  <c r="Y63" i="8"/>
  <c r="W63" i="8"/>
  <c r="U63" i="8"/>
  <c r="S63" i="8"/>
  <c r="AB62" i="8"/>
  <c r="Z62" i="8"/>
  <c r="Y62" i="8"/>
  <c r="W62" i="8"/>
  <c r="S62" i="8"/>
  <c r="U62" i="8" s="1"/>
  <c r="AB61" i="8"/>
  <c r="Z61" i="8"/>
  <c r="AC61" i="8"/>
  <c r="W61" i="8"/>
  <c r="S61" i="8"/>
  <c r="U61" i="8" s="1"/>
  <c r="AB60" i="8"/>
  <c r="W60" i="8"/>
  <c r="S60" i="8"/>
  <c r="U60" i="8" s="1"/>
  <c r="AB59" i="8"/>
  <c r="W59" i="8"/>
  <c r="S59" i="8"/>
  <c r="U59" i="8" s="1"/>
  <c r="AB58" i="8"/>
  <c r="AC58" i="8" s="1"/>
  <c r="W58" i="8"/>
  <c r="S58" i="8"/>
  <c r="U58" i="8" s="1"/>
  <c r="AB57" i="8"/>
  <c r="Y57" i="8"/>
  <c r="W57" i="8"/>
  <c r="S57" i="8"/>
  <c r="U57" i="8" s="1"/>
  <c r="AB56" i="8"/>
  <c r="Y56" i="8"/>
  <c r="Z56" i="8" s="1"/>
  <c r="W56" i="8"/>
  <c r="S56" i="8"/>
  <c r="U56" i="8" s="1"/>
  <c r="X56" i="8" s="1"/>
  <c r="AB55" i="8"/>
  <c r="Y55" i="8"/>
  <c r="W55" i="8"/>
  <c r="U55" i="8"/>
  <c r="S55" i="8"/>
  <c r="AB54" i="8"/>
  <c r="W54" i="8"/>
  <c r="S54" i="8"/>
  <c r="U54" i="8" s="1"/>
  <c r="AB53" i="8"/>
  <c r="AC53" i="8" s="1"/>
  <c r="Y53" i="8"/>
  <c r="Z53" i="8" s="1"/>
  <c r="W53" i="8"/>
  <c r="S53" i="8"/>
  <c r="U53" i="8" s="1"/>
  <c r="AB52" i="8"/>
  <c r="Y52" i="8"/>
  <c r="Z52" i="8" s="1"/>
  <c r="W52" i="8"/>
  <c r="S52" i="8"/>
  <c r="U52" i="8" s="1"/>
  <c r="AB51" i="8"/>
  <c r="W51" i="8"/>
  <c r="S51" i="8"/>
  <c r="U51" i="8" s="1"/>
  <c r="AB50" i="8"/>
  <c r="Z50" i="8"/>
  <c r="S50" i="8"/>
  <c r="U50" i="8" s="1"/>
  <c r="AB49" i="8"/>
  <c r="Y49" i="8"/>
  <c r="W49" i="8"/>
  <c r="S49" i="8"/>
  <c r="U49" i="8" s="1"/>
  <c r="AB48" i="8"/>
  <c r="AC48" i="8" s="1"/>
  <c r="Y48" i="8"/>
  <c r="Z48" i="8" s="1"/>
  <c r="W48" i="8"/>
  <c r="U48" i="8"/>
  <c r="S48" i="8"/>
  <c r="AB47" i="8"/>
  <c r="Y47" i="8"/>
  <c r="W47" i="8"/>
  <c r="U47" i="8"/>
  <c r="S47" i="8"/>
  <c r="AB46" i="8"/>
  <c r="Z46" i="8"/>
  <c r="Y46" i="8"/>
  <c r="W46" i="8"/>
  <c r="S46" i="8"/>
  <c r="U46" i="8" s="1"/>
  <c r="AB45" i="8"/>
  <c r="Z45" i="8"/>
  <c r="Y45" i="8"/>
  <c r="W45" i="8"/>
  <c r="S45" i="8"/>
  <c r="U45" i="8" s="1"/>
  <c r="AB44" i="8"/>
  <c r="AC44" i="8" s="1"/>
  <c r="Y44" i="8"/>
  <c r="Z44" i="8" s="1"/>
  <c r="W44" i="8"/>
  <c r="U44" i="8"/>
  <c r="S44" i="8"/>
  <c r="AB43" i="8"/>
  <c r="W43" i="8"/>
  <c r="AB42" i="8"/>
  <c r="Y42" i="8"/>
  <c r="Z42" i="8" s="1"/>
  <c r="W42" i="8"/>
  <c r="X42" i="8" s="1"/>
  <c r="S42" i="8"/>
  <c r="U42" i="8" s="1"/>
  <c r="AB41" i="8"/>
  <c r="AC41" i="8" s="1"/>
  <c r="Z41" i="8"/>
  <c r="Y41" i="8"/>
  <c r="W41" i="8"/>
  <c r="S41" i="8"/>
  <c r="U41" i="8" s="1"/>
  <c r="AB40" i="8"/>
  <c r="Y40" i="8"/>
  <c r="Z40" i="8" s="1"/>
  <c r="W40" i="8"/>
  <c r="S40" i="8"/>
  <c r="U40" i="8" s="1"/>
  <c r="AB39" i="8"/>
  <c r="Y39" i="8"/>
  <c r="W39" i="8"/>
  <c r="S39" i="8"/>
  <c r="U39" i="8" s="1"/>
  <c r="AB38" i="8"/>
  <c r="Y38" i="8"/>
  <c r="Z38" i="8" s="1"/>
  <c r="W38" i="8"/>
  <c r="S38" i="8"/>
  <c r="U38" i="8" s="1"/>
  <c r="AB37" i="8"/>
  <c r="Y37" i="8"/>
  <c r="W37" i="8"/>
  <c r="S37" i="8"/>
  <c r="U37" i="8" s="1"/>
  <c r="AB36" i="8"/>
  <c r="W36" i="8"/>
  <c r="S36" i="8"/>
  <c r="U36" i="8" s="1"/>
  <c r="AB35" i="8"/>
  <c r="W35" i="8"/>
  <c r="S35" i="8"/>
  <c r="U35" i="8" s="1"/>
  <c r="AB34" i="8"/>
  <c r="W34" i="8"/>
  <c r="S34" i="8"/>
  <c r="U34" i="8" s="1"/>
  <c r="AB33" i="8"/>
  <c r="AC33" i="8" s="1"/>
  <c r="Y33" i="8"/>
  <c r="Z33" i="8" s="1"/>
  <c r="W33" i="8"/>
  <c r="S33" i="8"/>
  <c r="U33" i="8" s="1"/>
  <c r="AB32" i="8"/>
  <c r="AC32" i="8" s="1"/>
  <c r="Y32" i="8"/>
  <c r="Z32" i="8" s="1"/>
  <c r="W32" i="8"/>
  <c r="U32" i="8"/>
  <c r="S32" i="8"/>
  <c r="AB31" i="8"/>
  <c r="Y31" i="8"/>
  <c r="W31" i="8"/>
  <c r="U31" i="8"/>
  <c r="S31" i="8"/>
  <c r="AB30" i="8"/>
  <c r="Y30" i="8"/>
  <c r="W30" i="8"/>
  <c r="S30" i="8"/>
  <c r="U30" i="8" s="1"/>
  <c r="AB29" i="8"/>
  <c r="Y29" i="8"/>
  <c r="W29" i="8"/>
  <c r="S29" i="8"/>
  <c r="U29" i="8" s="1"/>
  <c r="AB27" i="8"/>
  <c r="Y27" i="8"/>
  <c r="Z27" i="8" s="1"/>
  <c r="W27" i="8"/>
  <c r="S27" i="8"/>
  <c r="U27" i="8" s="1"/>
  <c r="AB26" i="8"/>
  <c r="Y26" i="8"/>
  <c r="W26" i="8"/>
  <c r="S26" i="8"/>
  <c r="U26" i="8" s="1"/>
  <c r="AB25" i="8"/>
  <c r="Y25" i="8"/>
  <c r="Z25" i="8" s="1"/>
  <c r="W25" i="8"/>
  <c r="S25" i="8"/>
  <c r="U25" i="8" s="1"/>
  <c r="AB24" i="8"/>
  <c r="Y24" i="8"/>
  <c r="Z24" i="8" s="1"/>
  <c r="W24" i="8"/>
  <c r="S24" i="8"/>
  <c r="U24" i="8" s="1"/>
  <c r="AB23" i="8"/>
  <c r="Y23" i="8"/>
  <c r="Z23" i="8" s="1"/>
  <c r="W23" i="8"/>
  <c r="S23" i="8"/>
  <c r="U23" i="8" s="1"/>
  <c r="AB22" i="8"/>
  <c r="W22" i="8"/>
  <c r="S22" i="8"/>
  <c r="U22" i="8" s="1"/>
  <c r="AB21" i="8"/>
  <c r="Y21" i="8"/>
  <c r="Z21" i="8" s="1"/>
  <c r="W21" i="8"/>
  <c r="S21" i="8"/>
  <c r="U21" i="8" s="1"/>
  <c r="AB20" i="8"/>
  <c r="Y20" i="8"/>
  <c r="W20" i="8"/>
  <c r="S20" i="8"/>
  <c r="U20" i="8" s="1"/>
  <c r="AB19" i="8"/>
  <c r="Y19" i="8"/>
  <c r="Z19" i="8" s="1"/>
  <c r="W19" i="8"/>
  <c r="S19" i="8"/>
  <c r="U19" i="8" s="1"/>
  <c r="AB18" i="8"/>
  <c r="Y18" i="8"/>
  <c r="W18" i="8"/>
  <c r="S18" i="8"/>
  <c r="U18" i="8" s="1"/>
  <c r="AB17" i="8"/>
  <c r="Y17" i="8"/>
  <c r="W17" i="8"/>
  <c r="S17" i="8"/>
  <c r="U17" i="8" s="1"/>
  <c r="AB16" i="8"/>
  <c r="Y16" i="8"/>
  <c r="Z16" i="8" s="1"/>
  <c r="W16" i="8"/>
  <c r="S16" i="8"/>
  <c r="U16" i="8" s="1"/>
  <c r="AB15" i="8"/>
  <c r="Y15" i="8"/>
  <c r="Z15" i="8" s="1"/>
  <c r="W15" i="8"/>
  <c r="S15" i="8"/>
  <c r="U15" i="8" s="1"/>
  <c r="AB14" i="8"/>
  <c r="W14" i="8"/>
  <c r="S14" i="8"/>
  <c r="U14" i="8" s="1"/>
  <c r="AB13" i="8"/>
  <c r="AC13" i="8" s="1"/>
  <c r="Y13" i="8"/>
  <c r="Z13" i="8" s="1"/>
  <c r="W13" i="8"/>
  <c r="S13" i="8"/>
  <c r="U13" i="8" s="1"/>
  <c r="X13" i="8" s="1"/>
  <c r="AB12" i="8"/>
  <c r="AC12" i="8" s="1"/>
  <c r="Y12" i="8"/>
  <c r="Z12" i="8" s="1"/>
  <c r="W12" i="8"/>
  <c r="S12" i="8"/>
  <c r="U12" i="8" s="1"/>
  <c r="AB11" i="8"/>
  <c r="AC11" i="8" s="1"/>
  <c r="Z11" i="8"/>
  <c r="Y11" i="8"/>
  <c r="W11" i="8"/>
  <c r="S11" i="8"/>
  <c r="U11" i="8" s="1"/>
  <c r="AB10" i="8"/>
  <c r="W10" i="8"/>
  <c r="S10" i="8"/>
  <c r="U10" i="8" s="1"/>
  <c r="AB9" i="8"/>
  <c r="AC9" i="8" s="1"/>
  <c r="Y9" i="8"/>
  <c r="Z9" i="8" s="1"/>
  <c r="W9" i="8"/>
  <c r="U9" i="8"/>
  <c r="S9" i="8"/>
  <c r="AB8" i="8"/>
  <c r="Z8" i="8"/>
  <c r="W8" i="8"/>
  <c r="S8" i="8"/>
  <c r="U8" i="8" s="1"/>
  <c r="AB7" i="8"/>
  <c r="Z7" i="8"/>
  <c r="Y7" i="8"/>
  <c r="W7" i="8"/>
  <c r="S7" i="8"/>
  <c r="U7" i="8" s="1"/>
  <c r="Y44" i="6"/>
  <c r="Z44" i="6" s="1"/>
  <c r="AB78" i="6"/>
  <c r="Z78" i="6"/>
  <c r="Y78" i="6"/>
  <c r="W78" i="6"/>
  <c r="S78" i="6"/>
  <c r="U78" i="6" s="1"/>
  <c r="AB77" i="6"/>
  <c r="Y77" i="6"/>
  <c r="Z77" i="6" s="1"/>
  <c r="W77" i="6"/>
  <c r="S77" i="6"/>
  <c r="U77" i="6" s="1"/>
  <c r="AB76" i="6"/>
  <c r="Y76" i="6"/>
  <c r="Z76" i="6" s="1"/>
  <c r="W76" i="6"/>
  <c r="S76" i="6"/>
  <c r="U76" i="6" s="1"/>
  <c r="AB75" i="6"/>
  <c r="Y75" i="6"/>
  <c r="W75" i="6"/>
  <c r="S75" i="6"/>
  <c r="U75" i="6" s="1"/>
  <c r="AB74" i="6"/>
  <c r="Y74" i="6"/>
  <c r="W74" i="6"/>
  <c r="S74" i="6"/>
  <c r="U74" i="6" s="1"/>
  <c r="X74" i="6" s="1"/>
  <c r="AB73" i="6"/>
  <c r="Y73" i="6"/>
  <c r="Z73" i="6" s="1"/>
  <c r="W73" i="6"/>
  <c r="S73" i="6"/>
  <c r="U73" i="6" s="1"/>
  <c r="AB71" i="6"/>
  <c r="Y71" i="6"/>
  <c r="W71" i="6"/>
  <c r="S71" i="6"/>
  <c r="U71" i="6" s="1"/>
  <c r="AB70" i="6"/>
  <c r="Y70" i="6"/>
  <c r="W70" i="6"/>
  <c r="S70" i="6"/>
  <c r="U70" i="6" s="1"/>
  <c r="AB69" i="6"/>
  <c r="AC69" i="6" s="1"/>
  <c r="Y69" i="6"/>
  <c r="Z69" i="6" s="1"/>
  <c r="W69" i="6"/>
  <c r="S69" i="6"/>
  <c r="U69" i="6" s="1"/>
  <c r="AB68" i="6"/>
  <c r="Y68" i="6"/>
  <c r="Z68" i="6" s="1"/>
  <c r="W68" i="6"/>
  <c r="S68" i="6"/>
  <c r="U68" i="6" s="1"/>
  <c r="AB60" i="6"/>
  <c r="Y60" i="6"/>
  <c r="Z60" i="6" s="1"/>
  <c r="W60" i="6"/>
  <c r="S60" i="6"/>
  <c r="U60" i="6" s="1"/>
  <c r="AB59" i="6"/>
  <c r="Y59" i="6"/>
  <c r="W59" i="6"/>
  <c r="S59" i="6"/>
  <c r="U59" i="6" s="1"/>
  <c r="AB58" i="6"/>
  <c r="Y58" i="6"/>
  <c r="Z58" i="6" s="1"/>
  <c r="W58" i="6"/>
  <c r="S58" i="6"/>
  <c r="U58" i="6" s="1"/>
  <c r="X58" i="6" s="1"/>
  <c r="AB57" i="6"/>
  <c r="Y57" i="6"/>
  <c r="W57" i="6"/>
  <c r="S57" i="6"/>
  <c r="U57" i="6" s="1"/>
  <c r="AB56" i="6"/>
  <c r="Y56" i="6"/>
  <c r="W56" i="6"/>
  <c r="S56" i="6"/>
  <c r="U56" i="6" s="1"/>
  <c r="X56" i="6" s="1"/>
  <c r="AB55" i="6"/>
  <c r="Y55" i="6"/>
  <c r="W55" i="6"/>
  <c r="S55" i="6"/>
  <c r="U55" i="6" s="1"/>
  <c r="AB54" i="6"/>
  <c r="Y54" i="6"/>
  <c r="Z54" i="6" s="1"/>
  <c r="W54" i="6"/>
  <c r="S54" i="6"/>
  <c r="U54" i="6" s="1"/>
  <c r="X54" i="6" s="1"/>
  <c r="AB53" i="6"/>
  <c r="Y53" i="6"/>
  <c r="W53" i="6"/>
  <c r="S53" i="6"/>
  <c r="U53" i="6" s="1"/>
  <c r="AB52" i="6"/>
  <c r="Y52" i="6"/>
  <c r="W52" i="6"/>
  <c r="S52" i="6"/>
  <c r="U52" i="6" s="1"/>
  <c r="AB35" i="6"/>
  <c r="Y35" i="6"/>
  <c r="W35" i="6"/>
  <c r="S35" i="6"/>
  <c r="U35" i="6" s="1"/>
  <c r="AB34" i="6"/>
  <c r="Y34" i="6"/>
  <c r="Z34" i="6" s="1"/>
  <c r="W34" i="6"/>
  <c r="S34" i="6"/>
  <c r="U34" i="6" s="1"/>
  <c r="AB33" i="6"/>
  <c r="Y33" i="6"/>
  <c r="Z33" i="6" s="1"/>
  <c r="W33" i="6"/>
  <c r="S33" i="6"/>
  <c r="U33" i="6" s="1"/>
  <c r="AB32" i="6"/>
  <c r="Y32" i="6"/>
  <c r="W32" i="6"/>
  <c r="S32" i="6"/>
  <c r="U32" i="6" s="1"/>
  <c r="AB31" i="6"/>
  <c r="Y31" i="6"/>
  <c r="W31" i="6"/>
  <c r="S31" i="6"/>
  <c r="U31" i="6" s="1"/>
  <c r="AB30" i="6"/>
  <c r="Y30" i="6"/>
  <c r="Z30" i="6" s="1"/>
  <c r="W30" i="6"/>
  <c r="S30" i="6"/>
  <c r="U30" i="6" s="1"/>
  <c r="AB29" i="6"/>
  <c r="Y29" i="6"/>
  <c r="Z29" i="6" s="1"/>
  <c r="W29" i="6"/>
  <c r="S29" i="6"/>
  <c r="U29" i="6" s="1"/>
  <c r="AB28" i="6"/>
  <c r="Y28" i="6"/>
  <c r="W28" i="6"/>
  <c r="S28" i="6"/>
  <c r="U28" i="6" s="1"/>
  <c r="AB27" i="6"/>
  <c r="Y27" i="6"/>
  <c r="W27" i="6"/>
  <c r="S27" i="6"/>
  <c r="U27" i="6" s="1"/>
  <c r="AB26" i="6"/>
  <c r="Y26" i="6"/>
  <c r="W26" i="6"/>
  <c r="S26" i="6"/>
  <c r="U26" i="6" s="1"/>
  <c r="AB25" i="6"/>
  <c r="Y25" i="6"/>
  <c r="Z25" i="6" s="1"/>
  <c r="W25" i="6"/>
  <c r="S25" i="6"/>
  <c r="U25" i="6" s="1"/>
  <c r="AB24" i="6"/>
  <c r="Y24" i="6"/>
  <c r="W24" i="6"/>
  <c r="S24" i="6"/>
  <c r="U24" i="6" s="1"/>
  <c r="AB23" i="6"/>
  <c r="Y23" i="6"/>
  <c r="W23" i="6"/>
  <c r="S23" i="6"/>
  <c r="U23" i="6" s="1"/>
  <c r="AB22" i="6"/>
  <c r="Y22" i="6"/>
  <c r="Z22" i="6" s="1"/>
  <c r="W22" i="6"/>
  <c r="S22" i="6"/>
  <c r="U22" i="6" s="1"/>
  <c r="AB21" i="6"/>
  <c r="Y21" i="6"/>
  <c r="Z21" i="6" s="1"/>
  <c r="W21" i="6"/>
  <c r="S21" i="6"/>
  <c r="U21" i="6" s="1"/>
  <c r="AB20" i="6"/>
  <c r="Y20" i="6"/>
  <c r="W20" i="6"/>
  <c r="S20" i="6"/>
  <c r="U20" i="6" s="1"/>
  <c r="AB19" i="6"/>
  <c r="Y19" i="6"/>
  <c r="W19" i="6"/>
  <c r="S19" i="6"/>
  <c r="U19" i="6" s="1"/>
  <c r="AB18" i="6"/>
  <c r="Y18" i="6"/>
  <c r="Z18" i="6" s="1"/>
  <c r="W18" i="6"/>
  <c r="S18" i="6"/>
  <c r="U18" i="6" s="1"/>
  <c r="AB17" i="6"/>
  <c r="Y17" i="6"/>
  <c r="Z17" i="6" s="1"/>
  <c r="W17" i="6"/>
  <c r="S17" i="6"/>
  <c r="U17" i="6" s="1"/>
  <c r="AB16" i="6"/>
  <c r="Y16" i="6"/>
  <c r="W16" i="6"/>
  <c r="S16" i="6"/>
  <c r="U16" i="6" s="1"/>
  <c r="AB15" i="6"/>
  <c r="Y15" i="6"/>
  <c r="W15" i="6"/>
  <c r="S15" i="6"/>
  <c r="U15" i="6" s="1"/>
  <c r="AB14" i="6"/>
  <c r="Y14" i="6"/>
  <c r="Z14" i="6" s="1"/>
  <c r="W14" i="6"/>
  <c r="S14" i="6"/>
  <c r="U14" i="6" s="1"/>
  <c r="AB81" i="6"/>
  <c r="Y81" i="6"/>
  <c r="W81" i="6"/>
  <c r="S81" i="6"/>
  <c r="U81" i="6" s="1"/>
  <c r="AB80" i="6"/>
  <c r="Y80" i="6"/>
  <c r="W80" i="6"/>
  <c r="S80" i="6"/>
  <c r="U80" i="6" s="1"/>
  <c r="AB79" i="6"/>
  <c r="Y79" i="6"/>
  <c r="Z79" i="6" s="1"/>
  <c r="W79" i="6"/>
  <c r="S79" i="6"/>
  <c r="U79" i="6" s="1"/>
  <c r="AB72" i="6"/>
  <c r="Y72" i="6"/>
  <c r="W72" i="6"/>
  <c r="S72" i="6"/>
  <c r="U72" i="6" s="1"/>
  <c r="AB67" i="6"/>
  <c r="Y67" i="6"/>
  <c r="W67" i="6"/>
  <c r="S67" i="6"/>
  <c r="U67" i="6" s="1"/>
  <c r="AB66" i="6"/>
  <c r="Y66" i="6"/>
  <c r="W66" i="6"/>
  <c r="S66" i="6"/>
  <c r="U66" i="6" s="1"/>
  <c r="AB65" i="6"/>
  <c r="Y65" i="6"/>
  <c r="Z65" i="6" s="1"/>
  <c r="W65" i="6"/>
  <c r="S65" i="6"/>
  <c r="U65" i="6" s="1"/>
  <c r="AB64" i="6"/>
  <c r="Y64" i="6"/>
  <c r="W64" i="6"/>
  <c r="S64" i="6"/>
  <c r="U64" i="6" s="1"/>
  <c r="AB63" i="6"/>
  <c r="Y63" i="6"/>
  <c r="W63" i="6"/>
  <c r="S63" i="6"/>
  <c r="U63" i="6" s="1"/>
  <c r="AB62" i="6"/>
  <c r="Y62" i="6"/>
  <c r="W62" i="6"/>
  <c r="S62" i="6"/>
  <c r="U62" i="6" s="1"/>
  <c r="AB61" i="6"/>
  <c r="Y61" i="6"/>
  <c r="Z61" i="6" s="1"/>
  <c r="W61" i="6"/>
  <c r="S61" i="6"/>
  <c r="U61" i="6" s="1"/>
  <c r="AB51" i="6"/>
  <c r="Y51" i="6"/>
  <c r="W51" i="6"/>
  <c r="S51" i="6"/>
  <c r="U51" i="6" s="1"/>
  <c r="AB50" i="6"/>
  <c r="Y50" i="6"/>
  <c r="W50" i="6"/>
  <c r="S50" i="6"/>
  <c r="U50" i="6" s="1"/>
  <c r="AB49" i="6"/>
  <c r="Y49" i="6"/>
  <c r="W49" i="6"/>
  <c r="S49" i="6"/>
  <c r="U49" i="6" s="1"/>
  <c r="AB48" i="6"/>
  <c r="Y48" i="6"/>
  <c r="Z48" i="6" s="1"/>
  <c r="W48" i="6"/>
  <c r="S48" i="6"/>
  <c r="U48" i="6" s="1"/>
  <c r="AB47" i="6"/>
  <c r="Y47" i="6"/>
  <c r="W47" i="6"/>
  <c r="S47" i="6"/>
  <c r="U47" i="6" s="1"/>
  <c r="AB46" i="6"/>
  <c r="Y46" i="6"/>
  <c r="W46" i="6"/>
  <c r="S46" i="6"/>
  <c r="U46" i="6" s="1"/>
  <c r="AB45" i="6"/>
  <c r="Y45" i="6"/>
  <c r="W45" i="6"/>
  <c r="S45" i="6"/>
  <c r="U45" i="6" s="1"/>
  <c r="AB44" i="6"/>
  <c r="W44" i="6"/>
  <c r="S44" i="6"/>
  <c r="U44" i="6" s="1"/>
  <c r="AB43" i="6"/>
  <c r="Y43" i="6"/>
  <c r="W43" i="6"/>
  <c r="S43" i="6"/>
  <c r="U43" i="6" s="1"/>
  <c r="AB42" i="6"/>
  <c r="Y42" i="6"/>
  <c r="W42" i="6"/>
  <c r="S42" i="6"/>
  <c r="U42" i="6" s="1"/>
  <c r="AB41" i="6"/>
  <c r="Y41" i="6"/>
  <c r="W41" i="6"/>
  <c r="S41" i="6"/>
  <c r="U41" i="6" s="1"/>
  <c r="AB40" i="6"/>
  <c r="Y40" i="6"/>
  <c r="Z40" i="6" s="1"/>
  <c r="W40" i="6"/>
  <c r="S40" i="6"/>
  <c r="U40" i="6" s="1"/>
  <c r="AB39" i="6"/>
  <c r="Y39" i="6"/>
  <c r="W39" i="6"/>
  <c r="S39" i="6"/>
  <c r="U39" i="6" s="1"/>
  <c r="AB38" i="6"/>
  <c r="Y38" i="6"/>
  <c r="W38" i="6"/>
  <c r="S38" i="6"/>
  <c r="U38" i="6" s="1"/>
  <c r="AB37" i="6"/>
  <c r="Y37" i="6"/>
  <c r="W37" i="6"/>
  <c r="S37" i="6"/>
  <c r="U37" i="6" s="1"/>
  <c r="AB36" i="6"/>
  <c r="Y36" i="6"/>
  <c r="Z36" i="6" s="1"/>
  <c r="W36" i="6"/>
  <c r="S36" i="6"/>
  <c r="U36" i="6" s="1"/>
  <c r="AB13" i="6"/>
  <c r="Y13" i="6"/>
  <c r="W13" i="6"/>
  <c r="S13" i="6"/>
  <c r="U13" i="6" s="1"/>
  <c r="AB12" i="6"/>
  <c r="Y12" i="6"/>
  <c r="W12" i="6"/>
  <c r="S12" i="6"/>
  <c r="U12" i="6" s="1"/>
  <c r="AB11" i="6"/>
  <c r="Y11" i="6"/>
  <c r="W11" i="6"/>
  <c r="S11" i="6"/>
  <c r="U11" i="6" s="1"/>
  <c r="AB9" i="6"/>
  <c r="Y9" i="6"/>
  <c r="Z9" i="6" s="1"/>
  <c r="W9" i="6"/>
  <c r="S9" i="6"/>
  <c r="U9" i="6" s="1"/>
  <c r="AB8" i="6"/>
  <c r="Y8" i="6"/>
  <c r="W8" i="6"/>
  <c r="S8" i="6"/>
  <c r="U8" i="6" s="1"/>
  <c r="AB7" i="6"/>
  <c r="Y7" i="6"/>
  <c r="W7" i="6"/>
  <c r="S7" i="6"/>
  <c r="U7" i="6" s="1"/>
  <c r="Z89" i="6"/>
  <c r="Z86" i="6"/>
  <c r="AD8" i="13" l="1"/>
  <c r="AE8" i="13" s="1"/>
  <c r="AD16" i="13"/>
  <c r="AE16" i="13" s="1"/>
  <c r="AD29" i="13"/>
  <c r="AE29" i="13" s="1"/>
  <c r="AD61" i="11"/>
  <c r="AE61" i="11" s="1"/>
  <c r="AD21" i="11"/>
  <c r="AE21" i="11" s="1"/>
  <c r="AD33" i="11"/>
  <c r="AE33" i="11" s="1"/>
  <c r="AD64" i="14"/>
  <c r="AE64" i="14" s="1"/>
  <c r="AD9" i="14"/>
  <c r="AE9" i="14" s="1"/>
  <c r="AD19" i="15"/>
  <c r="AE19" i="15" s="1"/>
  <c r="AD79" i="9"/>
  <c r="AE79" i="9" s="1"/>
  <c r="X39" i="8"/>
  <c r="X41" i="8"/>
  <c r="AD54" i="10"/>
  <c r="AE54" i="10" s="1"/>
  <c r="AD68" i="11"/>
  <c r="AE68" i="11" s="1"/>
  <c r="AD52" i="11"/>
  <c r="AE52" i="11" s="1"/>
  <c r="AD20" i="15"/>
  <c r="AE20" i="15" s="1"/>
  <c r="AD64" i="11"/>
  <c r="AE64" i="11" s="1"/>
  <c r="AD48" i="11"/>
  <c r="AE48" i="11" s="1"/>
  <c r="AD40" i="14"/>
  <c r="AE40" i="14" s="1"/>
  <c r="AD51" i="14"/>
  <c r="AE51" i="14" s="1"/>
  <c r="AD64" i="15"/>
  <c r="AE64" i="15" s="1"/>
  <c r="AD73" i="15"/>
  <c r="AE73" i="15" s="1"/>
  <c r="AD66" i="13"/>
  <c r="AE66" i="13" s="1"/>
  <c r="AD15" i="13"/>
  <c r="AE15" i="13" s="1"/>
  <c r="AD78" i="11"/>
  <c r="AE78" i="11" s="1"/>
  <c r="AD40" i="11"/>
  <c r="AE40" i="11" s="1"/>
  <c r="AD77" i="11"/>
  <c r="AE77" i="11" s="1"/>
  <c r="AD79" i="14"/>
  <c r="AE79" i="14" s="1"/>
  <c r="AD75" i="13"/>
  <c r="AE75" i="13" s="1"/>
  <c r="AD59" i="13"/>
  <c r="AE59" i="13" s="1"/>
  <c r="AD35" i="9"/>
  <c r="AE35" i="9" s="1"/>
  <c r="AD14" i="10"/>
  <c r="AE14" i="10" s="1"/>
  <c r="AD24" i="10"/>
  <c r="AE24" i="10" s="1"/>
  <c r="AD67" i="11"/>
  <c r="AE67" i="11" s="1"/>
  <c r="AD51" i="11"/>
  <c r="AE51" i="11" s="1"/>
  <c r="AD46" i="11"/>
  <c r="AE46" i="11" s="1"/>
  <c r="AD30" i="14"/>
  <c r="AE30" i="14" s="1"/>
  <c r="AD60" i="14"/>
  <c r="AE60" i="14" s="1"/>
  <c r="AD14" i="14"/>
  <c r="AE14" i="14" s="1"/>
  <c r="AD72" i="15"/>
  <c r="AE72" i="15" s="1"/>
  <c r="AD38" i="13"/>
  <c r="AE38" i="13" s="1"/>
  <c r="AD82" i="11"/>
  <c r="AE82" i="11" s="1"/>
  <c r="AC70" i="6"/>
  <c r="AC75" i="6"/>
  <c r="X72" i="8"/>
  <c r="X28" i="8"/>
  <c r="AD20" i="11"/>
  <c r="AE20" i="11" s="1"/>
  <c r="AD69" i="14"/>
  <c r="AE69" i="14" s="1"/>
  <c r="AD25" i="14"/>
  <c r="AE25" i="14" s="1"/>
  <c r="AD8" i="14"/>
  <c r="AE8" i="14" s="1"/>
  <c r="AD57" i="15"/>
  <c r="AE57" i="15" s="1"/>
  <c r="AD58" i="15"/>
  <c r="AE58" i="15" s="1"/>
  <c r="AD31" i="13"/>
  <c r="AE31" i="13" s="1"/>
  <c r="AD68" i="13"/>
  <c r="AE68" i="13" s="1"/>
  <c r="AD52" i="13"/>
  <c r="AE52" i="13" s="1"/>
  <c r="AD45" i="13"/>
  <c r="AE45" i="13" s="1"/>
  <c r="AD73" i="13"/>
  <c r="AE73" i="13" s="1"/>
  <c r="AD57" i="13"/>
  <c r="AE57" i="13" s="1"/>
  <c r="AD37" i="13"/>
  <c r="AE37" i="13" s="1"/>
  <c r="AD22" i="13"/>
  <c r="AE22" i="13" s="1"/>
  <c r="AD21" i="13"/>
  <c r="AE21" i="13" s="1"/>
  <c r="AD14" i="13"/>
  <c r="AE14" i="13" s="1"/>
  <c r="AD64" i="13"/>
  <c r="AE64" i="13" s="1"/>
  <c r="AD33" i="13"/>
  <c r="AE33" i="13" s="1"/>
  <c r="AD79" i="13"/>
  <c r="AE79" i="13" s="1"/>
  <c r="AD46" i="13"/>
  <c r="AE46" i="13" s="1"/>
  <c r="AD24" i="13"/>
  <c r="AE24" i="13" s="1"/>
  <c r="AD74" i="13"/>
  <c r="AE74" i="13" s="1"/>
  <c r="AD71" i="13"/>
  <c r="AE71" i="13" s="1"/>
  <c r="AD55" i="13"/>
  <c r="AE55" i="13" s="1"/>
  <c r="AD82" i="13"/>
  <c r="AE82" i="13" s="1"/>
  <c r="AD30" i="13"/>
  <c r="AE30" i="13" s="1"/>
  <c r="AD80" i="13"/>
  <c r="AE80" i="13" s="1"/>
  <c r="AD48" i="13"/>
  <c r="AE48" i="13" s="1"/>
  <c r="AD50" i="13"/>
  <c r="AE50" i="13" s="1"/>
  <c r="AD28" i="13"/>
  <c r="AE28" i="13" s="1"/>
  <c r="AD32" i="13"/>
  <c r="AE32" i="13" s="1"/>
  <c r="AD78" i="13"/>
  <c r="AE78" i="13" s="1"/>
  <c r="AD10" i="13"/>
  <c r="AE10" i="13" s="1"/>
  <c r="AD69" i="13"/>
  <c r="AE69" i="13" s="1"/>
  <c r="AD53" i="13"/>
  <c r="AE53" i="13" s="1"/>
  <c r="AD39" i="13"/>
  <c r="AE39" i="13" s="1"/>
  <c r="AD76" i="13"/>
  <c r="AE76" i="13" s="1"/>
  <c r="AD60" i="13"/>
  <c r="AE60" i="13" s="1"/>
  <c r="AD58" i="13"/>
  <c r="AE58" i="13" s="1"/>
  <c r="AD81" i="13"/>
  <c r="AE81" i="13" s="1"/>
  <c r="AD65" i="13"/>
  <c r="AE65" i="13" s="1"/>
  <c r="AD49" i="13"/>
  <c r="AE49" i="13" s="1"/>
  <c r="AD54" i="13"/>
  <c r="AE54" i="13" s="1"/>
  <c r="AD7" i="13"/>
  <c r="AE7" i="13" s="1"/>
  <c r="AD63" i="13"/>
  <c r="AE63" i="13" s="1"/>
  <c r="AD47" i="13"/>
  <c r="AE47" i="13" s="1"/>
  <c r="AD44" i="13"/>
  <c r="AE44" i="13" s="1"/>
  <c r="AD72" i="13"/>
  <c r="AE72" i="13" s="1"/>
  <c r="AD56" i="13"/>
  <c r="AE56" i="13" s="1"/>
  <c r="AD77" i="13"/>
  <c r="AE77" i="13" s="1"/>
  <c r="AD61" i="13"/>
  <c r="AE61" i="13" s="1"/>
  <c r="AD34" i="13"/>
  <c r="AE34" i="13" s="1"/>
  <c r="AD42" i="13"/>
  <c r="AE42" i="13" s="1"/>
  <c r="AD12" i="13"/>
  <c r="AE12" i="13" s="1"/>
  <c r="AD23" i="13"/>
  <c r="AE23" i="13" s="1"/>
  <c r="Z45" i="13"/>
  <c r="Z84" i="13" s="1"/>
  <c r="Z90" i="13" s="1"/>
  <c r="AD40" i="13"/>
  <c r="AE40" i="13" s="1"/>
  <c r="AD9" i="13"/>
  <c r="AE9" i="13" s="1"/>
  <c r="AD26" i="13"/>
  <c r="AE26" i="13" s="1"/>
  <c r="AD35" i="13"/>
  <c r="AE35" i="13" s="1"/>
  <c r="AD25" i="13"/>
  <c r="AE25" i="13" s="1"/>
  <c r="AD27" i="13"/>
  <c r="AE27" i="13" s="1"/>
  <c r="AD11" i="13"/>
  <c r="AE11" i="13" s="1"/>
  <c r="AD13" i="13"/>
  <c r="AE13" i="13" s="1"/>
  <c r="AD36" i="13"/>
  <c r="AE36" i="13" s="1"/>
  <c r="AD7" i="15"/>
  <c r="AE7" i="15" s="1"/>
  <c r="AC85" i="15"/>
  <c r="AD42" i="15"/>
  <c r="AE42" i="15" s="1"/>
  <c r="AD75" i="14"/>
  <c r="AE75" i="14" s="1"/>
  <c r="AD16" i="14"/>
  <c r="AE16" i="14" s="1"/>
  <c r="Z85" i="14"/>
  <c r="Z90" i="14" s="1"/>
  <c r="Z91" i="14" s="1"/>
  <c r="AC85" i="14"/>
  <c r="AE7" i="14"/>
  <c r="AD85" i="14"/>
  <c r="AC84" i="13"/>
  <c r="AD85" i="12"/>
  <c r="AC85" i="12"/>
  <c r="AD58" i="11"/>
  <c r="AE58" i="11" s="1"/>
  <c r="AD35" i="11"/>
  <c r="AE35" i="11" s="1"/>
  <c r="AD17" i="11"/>
  <c r="AE17" i="11" s="1"/>
  <c r="AD28" i="11"/>
  <c r="AE28" i="11" s="1"/>
  <c r="AD7" i="11"/>
  <c r="AE7" i="11" s="1"/>
  <c r="AD15" i="11"/>
  <c r="AE15" i="11" s="1"/>
  <c r="AD32" i="11"/>
  <c r="AE32" i="11" s="1"/>
  <c r="AD19" i="11"/>
  <c r="AE19" i="11" s="1"/>
  <c r="AD11" i="11"/>
  <c r="AE11" i="11" s="1"/>
  <c r="AD14" i="11"/>
  <c r="AE14" i="11" s="1"/>
  <c r="AD8" i="11"/>
  <c r="AE8" i="11" s="1"/>
  <c r="AD54" i="11"/>
  <c r="AE54" i="11" s="1"/>
  <c r="AD60" i="11"/>
  <c r="AE60" i="11" s="1"/>
  <c r="AD39" i="11"/>
  <c r="AE39" i="11" s="1"/>
  <c r="AD56" i="11"/>
  <c r="AE56" i="11" s="1"/>
  <c r="AD66" i="11"/>
  <c r="AE66" i="11" s="1"/>
  <c r="AD43" i="11"/>
  <c r="AE43" i="11" s="1"/>
  <c r="AC85" i="11"/>
  <c r="Z85" i="11"/>
  <c r="X70" i="8"/>
  <c r="AD53" i="9"/>
  <c r="AE53" i="9" s="1"/>
  <c r="AD26" i="10"/>
  <c r="AE26" i="10" s="1"/>
  <c r="AD65" i="9"/>
  <c r="AE65" i="9" s="1"/>
  <c r="AD52" i="10"/>
  <c r="AE52" i="10" s="1"/>
  <c r="AD47" i="10"/>
  <c r="AE47" i="10" s="1"/>
  <c r="AD22" i="10"/>
  <c r="AE22" i="10" s="1"/>
  <c r="AC37" i="8"/>
  <c r="X61" i="8"/>
  <c r="AC74" i="8"/>
  <c r="AD43" i="9"/>
  <c r="AE43" i="9" s="1"/>
  <c r="AD18" i="10"/>
  <c r="AE18" i="10" s="1"/>
  <c r="AD68" i="10"/>
  <c r="AE68" i="10" s="1"/>
  <c r="AC45" i="10"/>
  <c r="AD45" i="10" s="1"/>
  <c r="AE45" i="10" s="1"/>
  <c r="Z45" i="10"/>
  <c r="Z85" i="10" s="1"/>
  <c r="AD24" i="9"/>
  <c r="AE24" i="9" s="1"/>
  <c r="AE7" i="10"/>
  <c r="AD49" i="9"/>
  <c r="AE49" i="9" s="1"/>
  <c r="AD11" i="9"/>
  <c r="AE11" i="9" s="1"/>
  <c r="AD62" i="9"/>
  <c r="AE62" i="9" s="1"/>
  <c r="AD58" i="9"/>
  <c r="AE58" i="9" s="1"/>
  <c r="AD10" i="9"/>
  <c r="AE10" i="9" s="1"/>
  <c r="AD83" i="9"/>
  <c r="AE83" i="9" s="1"/>
  <c r="AD32" i="9"/>
  <c r="AE32" i="9" s="1"/>
  <c r="AD37" i="9"/>
  <c r="AE37" i="9" s="1"/>
  <c r="AD64" i="9"/>
  <c r="AE64" i="9" s="1"/>
  <c r="AD74" i="9"/>
  <c r="AE74" i="9" s="1"/>
  <c r="AD30" i="9"/>
  <c r="AE30" i="9" s="1"/>
  <c r="AD47" i="9"/>
  <c r="AE47" i="9" s="1"/>
  <c r="AD29" i="9"/>
  <c r="AE29" i="9" s="1"/>
  <c r="AD26" i="9"/>
  <c r="AE26" i="9" s="1"/>
  <c r="AD59" i="9"/>
  <c r="AE59" i="9" s="1"/>
  <c r="AD39" i="9"/>
  <c r="AE39" i="9" s="1"/>
  <c r="AD21" i="9"/>
  <c r="AE21" i="9" s="1"/>
  <c r="AD63" i="9"/>
  <c r="AE63" i="9" s="1"/>
  <c r="AD55" i="9"/>
  <c r="AE55" i="9" s="1"/>
  <c r="AD8" i="9"/>
  <c r="AE8" i="9" s="1"/>
  <c r="AD60" i="9"/>
  <c r="AE60" i="9" s="1"/>
  <c r="AD13" i="9"/>
  <c r="AE13" i="9" s="1"/>
  <c r="AD66" i="9"/>
  <c r="AE66" i="9" s="1"/>
  <c r="AD61" i="9"/>
  <c r="AE61" i="9" s="1"/>
  <c r="AD70" i="9"/>
  <c r="AE70" i="9" s="1"/>
  <c r="AD71" i="9"/>
  <c r="AE71" i="9" s="1"/>
  <c r="AD50" i="9"/>
  <c r="AE50" i="9" s="1"/>
  <c r="AD54" i="9"/>
  <c r="AE54" i="9" s="1"/>
  <c r="AD18" i="9"/>
  <c r="AE18" i="9" s="1"/>
  <c r="AD57" i="9"/>
  <c r="AE57" i="9" s="1"/>
  <c r="AD12" i="9"/>
  <c r="AE12" i="9" s="1"/>
  <c r="AD46" i="9"/>
  <c r="AE46" i="9" s="1"/>
  <c r="AD40" i="9"/>
  <c r="AE40" i="9" s="1"/>
  <c r="AD81" i="9"/>
  <c r="AE81" i="9" s="1"/>
  <c r="AD75" i="9"/>
  <c r="AE75" i="9" s="1"/>
  <c r="AD25" i="9"/>
  <c r="AE25" i="9" s="1"/>
  <c r="AD73" i="9"/>
  <c r="AE73" i="9" s="1"/>
  <c r="AD41" i="9"/>
  <c r="AE41" i="9" s="1"/>
  <c r="AD9" i="9"/>
  <c r="AE9" i="9" s="1"/>
  <c r="AD17" i="9"/>
  <c r="AE17" i="9" s="1"/>
  <c r="AD31" i="9"/>
  <c r="AE31" i="9" s="1"/>
  <c r="AD80" i="9"/>
  <c r="AE80" i="9" s="1"/>
  <c r="AD52" i="9"/>
  <c r="AE52" i="9" s="1"/>
  <c r="AD42" i="9"/>
  <c r="AE42" i="9" s="1"/>
  <c r="AD22" i="9"/>
  <c r="AE22" i="9" s="1"/>
  <c r="AD45" i="9"/>
  <c r="AE45" i="9" s="1"/>
  <c r="AD14" i="9"/>
  <c r="AE14" i="9" s="1"/>
  <c r="AD72" i="9"/>
  <c r="AE72" i="9" s="1"/>
  <c r="AD7" i="9"/>
  <c r="AE7" i="9" s="1"/>
  <c r="AD76" i="9"/>
  <c r="AE76" i="9" s="1"/>
  <c r="AD36" i="9"/>
  <c r="AE36" i="9" s="1"/>
  <c r="AD69" i="9"/>
  <c r="AE69" i="9" s="1"/>
  <c r="AD16" i="9"/>
  <c r="AE16" i="9" s="1"/>
  <c r="AD23" i="9"/>
  <c r="AE23" i="9" s="1"/>
  <c r="AD78" i="9"/>
  <c r="AE78" i="9" s="1"/>
  <c r="AD20" i="9"/>
  <c r="AE20" i="9" s="1"/>
  <c r="AD56" i="9"/>
  <c r="AE56" i="9" s="1"/>
  <c r="AD34" i="9"/>
  <c r="AE34" i="9" s="1"/>
  <c r="AD82" i="9"/>
  <c r="AE82" i="9" s="1"/>
  <c r="AD33" i="9"/>
  <c r="AE33" i="9" s="1"/>
  <c r="AD51" i="9"/>
  <c r="AE51" i="9" s="1"/>
  <c r="AD28" i="9"/>
  <c r="AE28" i="9" s="1"/>
  <c r="AD67" i="9"/>
  <c r="AE67" i="9" s="1"/>
  <c r="AD19" i="9"/>
  <c r="AE19" i="9" s="1"/>
  <c r="AD27" i="9"/>
  <c r="AE27" i="9" s="1"/>
  <c r="AD48" i="9"/>
  <c r="AE48" i="9" s="1"/>
  <c r="AD38" i="9"/>
  <c r="AE38" i="9" s="1"/>
  <c r="AC85" i="9"/>
  <c r="Z85" i="9"/>
  <c r="AC64" i="8"/>
  <c r="AC60" i="8"/>
  <c r="X50" i="8"/>
  <c r="Z58" i="8"/>
  <c r="X54" i="8"/>
  <c r="AC56" i="8"/>
  <c r="AD56" i="8" s="1"/>
  <c r="AE56" i="8" s="1"/>
  <c r="X35" i="8"/>
  <c r="AC24" i="8"/>
  <c r="X46" i="8"/>
  <c r="X51" i="8"/>
  <c r="AD61" i="8"/>
  <c r="AE61" i="8" s="1"/>
  <c r="X77" i="8"/>
  <c r="X80" i="8"/>
  <c r="AD80" i="8" s="1"/>
  <c r="AE80" i="8" s="1"/>
  <c r="X82" i="8"/>
  <c r="X75" i="6"/>
  <c r="AD75" i="6" s="1"/>
  <c r="AE75" i="6" s="1"/>
  <c r="X77" i="6"/>
  <c r="X10" i="8"/>
  <c r="X16" i="8"/>
  <c r="X18" i="8"/>
  <c r="AC30" i="8"/>
  <c r="X34" i="8"/>
  <c r="AC77" i="8"/>
  <c r="X12" i="8"/>
  <c r="AD12" i="8" s="1"/>
  <c r="AE12" i="8" s="1"/>
  <c r="X14" i="8"/>
  <c r="X36" i="8"/>
  <c r="X45" i="8"/>
  <c r="X48" i="8"/>
  <c r="AD48" i="8" s="1"/>
  <c r="AE48" i="8" s="1"/>
  <c r="X55" i="8"/>
  <c r="X62" i="8"/>
  <c r="X31" i="8"/>
  <c r="AC45" i="8"/>
  <c r="AC57" i="8"/>
  <c r="AC69" i="8"/>
  <c r="X71" i="8"/>
  <c r="X78" i="8"/>
  <c r="X69" i="6"/>
  <c r="AD69" i="6" s="1"/>
  <c r="AE69" i="6" s="1"/>
  <c r="AC28" i="8"/>
  <c r="AD28" i="8" s="1"/>
  <c r="AE28" i="8" s="1"/>
  <c r="Z28" i="8"/>
  <c r="AC7" i="8"/>
  <c r="AD7" i="8" s="1"/>
  <c r="X27" i="8"/>
  <c r="X30" i="8"/>
  <c r="AC49" i="8"/>
  <c r="AC52" i="8"/>
  <c r="X57" i="8"/>
  <c r="AD57" i="8" s="1"/>
  <c r="AE57" i="8" s="1"/>
  <c r="AC66" i="8"/>
  <c r="Z69" i="8"/>
  <c r="X74" i="8"/>
  <c r="AC81" i="8"/>
  <c r="X8" i="8"/>
  <c r="X53" i="8"/>
  <c r="AD53" i="8" s="1"/>
  <c r="AE53" i="8" s="1"/>
  <c r="X59" i="8"/>
  <c r="X63" i="8"/>
  <c r="X22" i="8"/>
  <c r="X24" i="8"/>
  <c r="AD41" i="8"/>
  <c r="AE41" i="8" s="1"/>
  <c r="X65" i="8"/>
  <c r="Z37" i="8"/>
  <c r="AD72" i="8"/>
  <c r="AE72" i="8" s="1"/>
  <c r="X7" i="8"/>
  <c r="AC8" i="8"/>
  <c r="AC10" i="8"/>
  <c r="AC20" i="8"/>
  <c r="X26" i="8"/>
  <c r="X29" i="8"/>
  <c r="AC50" i="8"/>
  <c r="X58" i="8"/>
  <c r="AD58" i="8" s="1"/>
  <c r="AE58" i="8" s="1"/>
  <c r="AC65" i="8"/>
  <c r="AC68" i="8"/>
  <c r="X73" i="8"/>
  <c r="AC82" i="8"/>
  <c r="X38" i="8"/>
  <c r="X43" i="8"/>
  <c r="X47" i="8"/>
  <c r="X69" i="8"/>
  <c r="AD69" i="8" s="1"/>
  <c r="AE69" i="8" s="1"/>
  <c r="X75" i="8"/>
  <c r="X79" i="8"/>
  <c r="Z82" i="8"/>
  <c r="X9" i="8"/>
  <c r="AD9" i="8" s="1"/>
  <c r="AE9" i="8" s="1"/>
  <c r="X11" i="8"/>
  <c r="AD11" i="8" s="1"/>
  <c r="AE11" i="8" s="1"/>
  <c r="X15" i="8"/>
  <c r="X17" i="8"/>
  <c r="X19" i="8"/>
  <c r="X21" i="8"/>
  <c r="X23" i="8"/>
  <c r="AC29" i="8"/>
  <c r="X40" i="8"/>
  <c r="X49" i="8"/>
  <c r="X64" i="8"/>
  <c r="X66" i="8"/>
  <c r="AC73" i="8"/>
  <c r="X81" i="8"/>
  <c r="AC15" i="8"/>
  <c r="AC16" i="8"/>
  <c r="AD16" i="8" s="1"/>
  <c r="AE16" i="8" s="1"/>
  <c r="X25" i="8"/>
  <c r="AC19" i="8"/>
  <c r="Z20" i="8"/>
  <c r="AD13" i="8"/>
  <c r="AE13" i="8" s="1"/>
  <c r="AC14" i="8"/>
  <c r="AD14" i="8" s="1"/>
  <c r="AE14" i="8" s="1"/>
  <c r="Z14" i="8"/>
  <c r="AC31" i="8"/>
  <c r="Z31" i="8"/>
  <c r="Z10" i="8"/>
  <c r="Z29" i="8"/>
  <c r="Z30" i="8"/>
  <c r="X20" i="8"/>
  <c r="AC25" i="8"/>
  <c r="AC26" i="8"/>
  <c r="Z26" i="8"/>
  <c r="X37" i="8"/>
  <c r="AD37" i="8" s="1"/>
  <c r="AE37" i="8" s="1"/>
  <c r="AC42" i="8"/>
  <c r="AD42" i="8" s="1"/>
  <c r="AE42" i="8" s="1"/>
  <c r="AC43" i="8"/>
  <c r="Z43" i="8"/>
  <c r="AC51" i="8"/>
  <c r="Z51" i="8"/>
  <c r="AC59" i="8"/>
  <c r="Z59" i="8"/>
  <c r="AC67" i="8"/>
  <c r="Z67" i="8"/>
  <c r="AC75" i="8"/>
  <c r="Z75" i="8"/>
  <c r="AC21" i="8"/>
  <c r="AD21" i="8" s="1"/>
  <c r="AE21" i="8" s="1"/>
  <c r="AC22" i="8"/>
  <c r="Z22" i="8"/>
  <c r="X33" i="8"/>
  <c r="AD33" i="8" s="1"/>
  <c r="AE33" i="8" s="1"/>
  <c r="AC38" i="8"/>
  <c r="AC39" i="8"/>
  <c r="AD39" i="8" s="1"/>
  <c r="AE39" i="8" s="1"/>
  <c r="Z39" i="8"/>
  <c r="Z49" i="8"/>
  <c r="Z57" i="8"/>
  <c r="Z65" i="8"/>
  <c r="Z73" i="8"/>
  <c r="Z81" i="8"/>
  <c r="AC27" i="8"/>
  <c r="AD82" i="8"/>
  <c r="AE82" i="8" s="1"/>
  <c r="AC23" i="8"/>
  <c r="X32" i="8"/>
  <c r="AD32" i="8" s="1"/>
  <c r="AE32" i="8" s="1"/>
  <c r="AC40" i="8"/>
  <c r="AC17" i="8"/>
  <c r="AC18" i="8"/>
  <c r="Z18" i="8"/>
  <c r="AC34" i="8"/>
  <c r="AC35" i="8"/>
  <c r="Z35" i="8"/>
  <c r="AC47" i="8"/>
  <c r="Z47" i="8"/>
  <c r="AC55" i="8"/>
  <c r="Z55" i="8"/>
  <c r="AC63" i="8"/>
  <c r="Z63" i="8"/>
  <c r="AC71" i="8"/>
  <c r="Z71" i="8"/>
  <c r="AC79" i="8"/>
  <c r="Z79" i="8"/>
  <c r="Z17" i="8"/>
  <c r="Z34" i="8"/>
  <c r="AC36" i="8"/>
  <c r="X44" i="8"/>
  <c r="AD44" i="8" s="1"/>
  <c r="AE44" i="8" s="1"/>
  <c r="AC46" i="8"/>
  <c r="AD46" i="8" s="1"/>
  <c r="AE46" i="8" s="1"/>
  <c r="X52" i="8"/>
  <c r="AC54" i="8"/>
  <c r="X60" i="8"/>
  <c r="AD60" i="8" s="1"/>
  <c r="AE60" i="8" s="1"/>
  <c r="AC62" i="8"/>
  <c r="X68" i="8"/>
  <c r="AC70" i="8"/>
  <c r="X76" i="8"/>
  <c r="AD76" i="8" s="1"/>
  <c r="AE76" i="8" s="1"/>
  <c r="AC78" i="8"/>
  <c r="AC73" i="6"/>
  <c r="X76" i="6"/>
  <c r="X78" i="6"/>
  <c r="AC74" i="6"/>
  <c r="AD74" i="6" s="1"/>
  <c r="AE74" i="6" s="1"/>
  <c r="X70" i="6"/>
  <c r="AD70" i="6" s="1"/>
  <c r="AE70" i="6" s="1"/>
  <c r="X73" i="6"/>
  <c r="Z74" i="6"/>
  <c r="AC78" i="6"/>
  <c r="AC77" i="6"/>
  <c r="AC76" i="6"/>
  <c r="Z75" i="6"/>
  <c r="AC59" i="6"/>
  <c r="X71" i="6"/>
  <c r="AC56" i="6"/>
  <c r="AD56" i="6" s="1"/>
  <c r="AE56" i="6" s="1"/>
  <c r="X53" i="6"/>
  <c r="X57" i="6"/>
  <c r="X60" i="6"/>
  <c r="AC68" i="6"/>
  <c r="AC53" i="6"/>
  <c r="AC57" i="6"/>
  <c r="X68" i="6"/>
  <c r="AC71" i="6"/>
  <c r="Z71" i="6"/>
  <c r="Z70" i="6"/>
  <c r="AC52" i="6"/>
  <c r="AC17" i="6"/>
  <c r="AC21" i="6"/>
  <c r="AC25" i="6"/>
  <c r="AC29" i="6"/>
  <c r="AC33" i="6"/>
  <c r="Z52" i="6"/>
  <c r="Z56" i="6"/>
  <c r="AC54" i="6"/>
  <c r="AD54" i="6" s="1"/>
  <c r="AE54" i="6" s="1"/>
  <c r="X55" i="6"/>
  <c r="AC60" i="6"/>
  <c r="X7" i="6"/>
  <c r="X9" i="6"/>
  <c r="X12" i="6"/>
  <c r="X36" i="6"/>
  <c r="X38" i="6"/>
  <c r="X40" i="6"/>
  <c r="X42" i="6"/>
  <c r="X44" i="6"/>
  <c r="X46" i="6"/>
  <c r="X48" i="6"/>
  <c r="X50" i="6"/>
  <c r="X61" i="6"/>
  <c r="X63" i="6"/>
  <c r="X65" i="6"/>
  <c r="X67" i="6"/>
  <c r="X79" i="6"/>
  <c r="X15" i="6"/>
  <c r="X17" i="6"/>
  <c r="X19" i="6"/>
  <c r="X21" i="6"/>
  <c r="X23" i="6"/>
  <c r="X25" i="6"/>
  <c r="X27" i="6"/>
  <c r="X29" i="6"/>
  <c r="X33" i="6"/>
  <c r="X52" i="6"/>
  <c r="AC55" i="6"/>
  <c r="X59" i="6"/>
  <c r="AC58" i="6"/>
  <c r="AD58" i="6" s="1"/>
  <c r="AE58" i="6" s="1"/>
  <c r="Z55" i="6"/>
  <c r="Z59" i="6"/>
  <c r="Z53" i="6"/>
  <c r="Z57" i="6"/>
  <c r="X8" i="6"/>
  <c r="X11" i="6"/>
  <c r="X13" i="6"/>
  <c r="X37" i="6"/>
  <c r="X39" i="6"/>
  <c r="X41" i="6"/>
  <c r="X43" i="6"/>
  <c r="X45" i="6"/>
  <c r="X47" i="6"/>
  <c r="X49" i="6"/>
  <c r="X51" i="6"/>
  <c r="X62" i="6"/>
  <c r="X64" i="6"/>
  <c r="X66" i="6"/>
  <c r="X72" i="6"/>
  <c r="X80" i="6"/>
  <c r="X14" i="6"/>
  <c r="X16" i="6"/>
  <c r="X18" i="6"/>
  <c r="X20" i="6"/>
  <c r="X22" i="6"/>
  <c r="X24" i="6"/>
  <c r="X26" i="6"/>
  <c r="X28" i="6"/>
  <c r="X30" i="6"/>
  <c r="X32" i="6"/>
  <c r="X34" i="6"/>
  <c r="AC8" i="6"/>
  <c r="AC11" i="6"/>
  <c r="AC13" i="6"/>
  <c r="AC37" i="6"/>
  <c r="AC39" i="6"/>
  <c r="AC41" i="6"/>
  <c r="AC43" i="6"/>
  <c r="AC45" i="6"/>
  <c r="AC47" i="6"/>
  <c r="AC49" i="6"/>
  <c r="AC51" i="6"/>
  <c r="AC62" i="6"/>
  <c r="AC64" i="6"/>
  <c r="AC66" i="6"/>
  <c r="AC72" i="6"/>
  <c r="AC80" i="6"/>
  <c r="AC16" i="6"/>
  <c r="AC20" i="6"/>
  <c r="AC24" i="6"/>
  <c r="AD24" i="6" s="1"/>
  <c r="AE24" i="6" s="1"/>
  <c r="AC26" i="6"/>
  <c r="AD26" i="6" s="1"/>
  <c r="AE26" i="6" s="1"/>
  <c r="AC28" i="6"/>
  <c r="AD28" i="6" s="1"/>
  <c r="AE28" i="6" s="1"/>
  <c r="AC32" i="6"/>
  <c r="X31" i="6"/>
  <c r="X35" i="6"/>
  <c r="AC63" i="6"/>
  <c r="AC67" i="6"/>
  <c r="AC15" i="6"/>
  <c r="AC19" i="6"/>
  <c r="AC23" i="6"/>
  <c r="AC27" i="6"/>
  <c r="AC31" i="6"/>
  <c r="AD31" i="6" s="1"/>
  <c r="AE31" i="6" s="1"/>
  <c r="AC35" i="6"/>
  <c r="AD35" i="6" s="1"/>
  <c r="AE35" i="6" s="1"/>
  <c r="Z26" i="6"/>
  <c r="AC22" i="6"/>
  <c r="Z31" i="6"/>
  <c r="Z35" i="6"/>
  <c r="AC14" i="6"/>
  <c r="AC18" i="6"/>
  <c r="Z15" i="6"/>
  <c r="Z19" i="6"/>
  <c r="Z23" i="6"/>
  <c r="Z27" i="6"/>
  <c r="Z16" i="6"/>
  <c r="Z20" i="6"/>
  <c r="Z24" i="6"/>
  <c r="Z28" i="6"/>
  <c r="Z32" i="6"/>
  <c r="AC30" i="6"/>
  <c r="AC34" i="6"/>
  <c r="X81" i="6"/>
  <c r="AC7" i="6"/>
  <c r="AC12" i="6"/>
  <c r="AC38" i="6"/>
  <c r="AC42" i="6"/>
  <c r="AC46" i="6"/>
  <c r="AD46" i="6" s="1"/>
  <c r="AE46" i="6" s="1"/>
  <c r="AC50" i="6"/>
  <c r="AC81" i="6"/>
  <c r="AC9" i="6"/>
  <c r="Z11" i="6"/>
  <c r="AC36" i="6"/>
  <c r="Z37" i="6"/>
  <c r="AC40" i="6"/>
  <c r="Z41" i="6"/>
  <c r="AC44" i="6"/>
  <c r="Z45" i="6"/>
  <c r="AC48" i="6"/>
  <c r="Z49" i="6"/>
  <c r="AC61" i="6"/>
  <c r="Z62" i="6"/>
  <c r="AC65" i="6"/>
  <c r="Z66" i="6"/>
  <c r="AC79" i="6"/>
  <c r="AD79" i="6" s="1"/>
  <c r="AE79" i="6" s="1"/>
  <c r="Z80" i="6"/>
  <c r="Z7" i="6"/>
  <c r="Z12" i="6"/>
  <c r="Z38" i="6"/>
  <c r="Z42" i="6"/>
  <c r="Z46" i="6"/>
  <c r="Z50" i="6"/>
  <c r="Z63" i="6"/>
  <c r="Z67" i="6"/>
  <c r="Z81" i="6"/>
  <c r="Z8" i="6"/>
  <c r="Z13" i="6"/>
  <c r="Z39" i="6"/>
  <c r="Z43" i="6"/>
  <c r="Z47" i="6"/>
  <c r="Z51" i="6"/>
  <c r="Z64" i="6"/>
  <c r="Z72" i="6"/>
  <c r="AD74" i="8" l="1"/>
  <c r="AE74" i="8" s="1"/>
  <c r="AD38" i="8"/>
  <c r="AE38" i="8" s="1"/>
  <c r="AD13" i="6"/>
  <c r="AE13" i="6" s="1"/>
  <c r="AD40" i="8"/>
  <c r="AE40" i="8" s="1"/>
  <c r="AD48" i="6"/>
  <c r="AE48" i="6" s="1"/>
  <c r="AD9" i="6"/>
  <c r="AE9" i="6" s="1"/>
  <c r="AD62" i="6"/>
  <c r="AE62" i="6" s="1"/>
  <c r="AD84" i="13"/>
  <c r="AE84" i="13" s="1"/>
  <c r="AD85" i="15"/>
  <c r="AE85" i="15" s="1"/>
  <c r="AE85" i="14"/>
  <c r="AE85" i="12"/>
  <c r="AD85" i="11"/>
  <c r="AE85" i="11" s="1"/>
  <c r="AD22" i="8"/>
  <c r="AE22" i="8" s="1"/>
  <c r="AD79" i="8"/>
  <c r="AE79" i="8" s="1"/>
  <c r="AD77" i="6"/>
  <c r="AE77" i="6" s="1"/>
  <c r="AD73" i="6"/>
  <c r="AE73" i="6" s="1"/>
  <c r="AD23" i="8"/>
  <c r="AE23" i="8" s="1"/>
  <c r="AD65" i="6"/>
  <c r="AE65" i="6" s="1"/>
  <c r="AD40" i="6"/>
  <c r="AE40" i="6" s="1"/>
  <c r="AD35" i="8"/>
  <c r="AE35" i="8" s="1"/>
  <c r="AD50" i="8"/>
  <c r="AE50" i="8" s="1"/>
  <c r="AD8" i="8"/>
  <c r="AE8" i="8" s="1"/>
  <c r="AD25" i="6"/>
  <c r="AE25" i="6" s="1"/>
  <c r="AD70" i="8"/>
  <c r="AE70" i="8" s="1"/>
  <c r="AD7" i="6"/>
  <c r="AE7" i="6" s="1"/>
  <c r="AD68" i="8"/>
  <c r="AE68" i="8" s="1"/>
  <c r="AD18" i="8"/>
  <c r="AE18" i="8" s="1"/>
  <c r="AD77" i="8"/>
  <c r="AE77" i="8" s="1"/>
  <c r="AC85" i="10"/>
  <c r="AD85" i="10"/>
  <c r="AD85" i="9"/>
  <c r="AE85" i="9" s="1"/>
  <c r="AD64" i="8"/>
  <c r="AE64" i="8" s="1"/>
  <c r="AD54" i="8"/>
  <c r="AE54" i="8" s="1"/>
  <c r="AD51" i="8"/>
  <c r="AE51" i="8" s="1"/>
  <c r="AD19" i="8"/>
  <c r="AE19" i="8" s="1"/>
  <c r="AD27" i="8"/>
  <c r="AE27" i="8" s="1"/>
  <c r="AD24" i="8"/>
  <c r="AE24" i="8" s="1"/>
  <c r="AD29" i="8"/>
  <c r="AE29" i="8" s="1"/>
  <c r="AD30" i="8"/>
  <c r="AE30" i="8" s="1"/>
  <c r="AD27" i="6"/>
  <c r="AE27" i="6" s="1"/>
  <c r="AD66" i="6"/>
  <c r="AE66" i="6" s="1"/>
  <c r="AD41" i="6"/>
  <c r="AE41" i="6" s="1"/>
  <c r="AD71" i="6"/>
  <c r="AE71" i="6" s="1"/>
  <c r="AD78" i="6"/>
  <c r="AE78" i="6" s="1"/>
  <c r="AD78" i="8"/>
  <c r="AE78" i="8" s="1"/>
  <c r="AD71" i="8"/>
  <c r="AE71" i="8" s="1"/>
  <c r="AD34" i="8"/>
  <c r="AE34" i="8" s="1"/>
  <c r="AD75" i="8"/>
  <c r="AE75" i="8" s="1"/>
  <c r="AD43" i="8"/>
  <c r="AE43" i="8" s="1"/>
  <c r="AD10" i="8"/>
  <c r="AE10" i="8" s="1"/>
  <c r="AD45" i="8"/>
  <c r="AE45" i="8" s="1"/>
  <c r="AD36" i="8"/>
  <c r="AE36" i="8" s="1"/>
  <c r="AD66" i="8"/>
  <c r="AE66" i="8" s="1"/>
  <c r="AD67" i="8"/>
  <c r="AE67" i="8" s="1"/>
  <c r="AD49" i="6"/>
  <c r="AE49" i="6" s="1"/>
  <c r="AD11" i="6"/>
  <c r="AE11" i="6" s="1"/>
  <c r="AD62" i="8"/>
  <c r="AE62" i="8" s="1"/>
  <c r="AD55" i="8"/>
  <c r="AE55" i="8" s="1"/>
  <c r="AD17" i="8"/>
  <c r="AE17" i="8" s="1"/>
  <c r="AD31" i="8"/>
  <c r="AE31" i="8" s="1"/>
  <c r="AD52" i="8"/>
  <c r="AE52" i="8" s="1"/>
  <c r="AD51" i="6"/>
  <c r="AE51" i="6" s="1"/>
  <c r="AD47" i="8"/>
  <c r="AE47" i="8" s="1"/>
  <c r="AD49" i="8"/>
  <c r="AE49" i="8" s="1"/>
  <c r="AD15" i="8"/>
  <c r="AE15" i="8" s="1"/>
  <c r="AD59" i="8"/>
  <c r="AE59" i="8" s="1"/>
  <c r="AD26" i="8"/>
  <c r="AE26" i="8" s="1"/>
  <c r="AD81" i="8"/>
  <c r="AE81" i="8" s="1"/>
  <c r="AD63" i="8"/>
  <c r="AE63" i="8" s="1"/>
  <c r="AD25" i="8"/>
  <c r="AE25" i="8" s="1"/>
  <c r="AD73" i="8"/>
  <c r="AE73" i="8" s="1"/>
  <c r="AD20" i="8"/>
  <c r="AE20" i="8" s="1"/>
  <c r="AD65" i="8"/>
  <c r="AE65" i="8" s="1"/>
  <c r="Z84" i="8"/>
  <c r="AE7" i="8"/>
  <c r="AC84" i="8"/>
  <c r="AD44" i="6"/>
  <c r="AE44" i="6" s="1"/>
  <c r="AD59" i="6"/>
  <c r="AE59" i="6" s="1"/>
  <c r="AD76" i="6"/>
  <c r="AE76" i="6" s="1"/>
  <c r="AD29" i="6"/>
  <c r="AE29" i="6" s="1"/>
  <c r="AD32" i="6"/>
  <c r="AE32" i="6" s="1"/>
  <c r="AD23" i="6"/>
  <c r="AE23" i="6" s="1"/>
  <c r="AD50" i="6"/>
  <c r="AE50" i="6" s="1"/>
  <c r="AD60" i="6"/>
  <c r="AE60" i="6" s="1"/>
  <c r="AD36" i="6"/>
  <c r="AE36" i="6" s="1"/>
  <c r="AD55" i="6"/>
  <c r="AE55" i="6" s="1"/>
  <c r="AD21" i="6"/>
  <c r="AE21" i="6" s="1"/>
  <c r="AD57" i="6"/>
  <c r="AE57" i="6" s="1"/>
  <c r="AD61" i="6"/>
  <c r="AE61" i="6" s="1"/>
  <c r="AD63" i="6"/>
  <c r="AE63" i="6" s="1"/>
  <c r="AD12" i="6"/>
  <c r="AE12" i="6" s="1"/>
  <c r="AD16" i="6"/>
  <c r="AE16" i="6" s="1"/>
  <c r="AD17" i="6"/>
  <c r="AE17" i="6" s="1"/>
  <c r="AD53" i="6"/>
  <c r="AE53" i="6" s="1"/>
  <c r="AD81" i="6"/>
  <c r="AE81" i="6" s="1"/>
  <c r="AD18" i="6"/>
  <c r="AE18" i="6" s="1"/>
  <c r="AD64" i="6"/>
  <c r="AE64" i="6" s="1"/>
  <c r="AD39" i="6"/>
  <c r="AE39" i="6" s="1"/>
  <c r="AD42" i="6"/>
  <c r="AE42" i="6" s="1"/>
  <c r="AD38" i="6"/>
  <c r="AE38" i="6" s="1"/>
  <c r="AD68" i="6"/>
  <c r="AE68" i="6" s="1"/>
  <c r="AD33" i="6"/>
  <c r="AE33" i="6" s="1"/>
  <c r="AD8" i="6"/>
  <c r="AE8" i="6" s="1"/>
  <c r="AD45" i="6"/>
  <c r="AE45" i="6" s="1"/>
  <c r="AD47" i="6"/>
  <c r="AE47" i="6" s="1"/>
  <c r="AD80" i="6"/>
  <c r="AE80" i="6" s="1"/>
  <c r="AD19" i="6"/>
  <c r="AE19" i="6" s="1"/>
  <c r="AD37" i="6"/>
  <c r="AE37" i="6" s="1"/>
  <c r="AD72" i="6"/>
  <c r="AE72" i="6" s="1"/>
  <c r="AD43" i="6"/>
  <c r="AE43" i="6" s="1"/>
  <c r="AD34" i="6"/>
  <c r="AE34" i="6" s="1"/>
  <c r="AD15" i="6"/>
  <c r="AE15" i="6" s="1"/>
  <c r="AD52" i="6"/>
  <c r="AE52" i="6" s="1"/>
  <c r="AD67" i="6"/>
  <c r="AE67" i="6" s="1"/>
  <c r="AD20" i="6"/>
  <c r="AE20" i="6" s="1"/>
  <c r="AD30" i="6"/>
  <c r="AE30" i="6" s="1"/>
  <c r="AD14" i="6"/>
  <c r="AE14" i="6" s="1"/>
  <c r="AD22" i="6"/>
  <c r="AE22" i="6" s="1"/>
  <c r="W10" i="6"/>
  <c r="S10" i="6"/>
  <c r="U10" i="6" s="1"/>
  <c r="Y10" i="6"/>
  <c r="Z10" i="6" s="1"/>
  <c r="AB10" i="6"/>
  <c r="AE85" i="10" l="1"/>
  <c r="AD84" i="8"/>
  <c r="AE84" i="8" s="1"/>
  <c r="AC10" i="6"/>
  <c r="X10" i="6"/>
  <c r="AJ83" i="6"/>
  <c r="AI83" i="6"/>
  <c r="AH83" i="6"/>
  <c r="AG83" i="6"/>
  <c r="AF83" i="6"/>
  <c r="AD10" i="6" l="1"/>
  <c r="AE10" i="6" s="1"/>
  <c r="AC83" i="6" l="1"/>
  <c r="Z83" i="6"/>
  <c r="AD83" i="6" l="1"/>
  <c r="AE83" i="6" s="1"/>
</calcChain>
</file>

<file path=xl/sharedStrings.xml><?xml version="1.0" encoding="utf-8"?>
<sst xmlns="http://schemas.openxmlformats.org/spreadsheetml/2006/main" count="3831" uniqueCount="266">
  <si>
    <t>Supplier</t>
  </si>
  <si>
    <t>URL</t>
  </si>
  <si>
    <t>Net P</t>
  </si>
  <si>
    <t>X-rate</t>
  </si>
  <si>
    <t>Net P NOK</t>
  </si>
  <si>
    <t>Type</t>
  </si>
  <si>
    <t>To date</t>
  </si>
  <si>
    <t>Supp curr</t>
  </si>
  <si>
    <t>NOK</t>
  </si>
  <si>
    <t>Sales curr</t>
  </si>
  <si>
    <t>EUR</t>
  </si>
  <si>
    <t>Sales P NOK tot</t>
  </si>
  <si>
    <t>GP NOK</t>
  </si>
  <si>
    <t>GP %</t>
  </si>
  <si>
    <t>Units</t>
  </si>
  <si>
    <t>SEK</t>
  </si>
  <si>
    <t>DKK</t>
  </si>
  <si>
    <t>ISK</t>
  </si>
  <si>
    <t>Totals</t>
  </si>
  <si>
    <t>ID</t>
  </si>
  <si>
    <t>Price</t>
  </si>
  <si>
    <t>Status</t>
  </si>
  <si>
    <t>Supp Comm</t>
  </si>
  <si>
    <t>From date</t>
  </si>
  <si>
    <t>From time</t>
  </si>
  <si>
    <t>To time</t>
  </si>
  <si>
    <t>VAT25</t>
  </si>
  <si>
    <t>VAT15</t>
  </si>
  <si>
    <t>VAT0-D</t>
  </si>
  <si>
    <t>VAT0-I</t>
  </si>
  <si>
    <t>VAT12</t>
  </si>
  <si>
    <t>USD</t>
  </si>
  <si>
    <t xml:space="preserve"> </t>
  </si>
  <si>
    <t>Comments</t>
  </si>
  <si>
    <t>Travel element</t>
  </si>
  <si>
    <t>Day</t>
  </si>
  <si>
    <t>Manual booking?</t>
  </si>
  <si>
    <t>Non-refundable</t>
  </si>
  <si>
    <t>Refundable</t>
  </si>
  <si>
    <t>Gross P</t>
  </si>
  <si>
    <t>Gross P per unit</t>
  </si>
  <si>
    <t>Sales P per unit</t>
  </si>
  <si>
    <t>x</t>
  </si>
  <si>
    <t>Quote</t>
  </si>
  <si>
    <t>PP</t>
  </si>
  <si>
    <t>Pax: 4</t>
  </si>
  <si>
    <t>Rooming: 2 x double</t>
  </si>
  <si>
    <t>Day 1</t>
  </si>
  <si>
    <t>Arrival</t>
  </si>
  <si>
    <t>Transfer</t>
  </si>
  <si>
    <t>Hotel</t>
  </si>
  <si>
    <t>Leisure</t>
  </si>
  <si>
    <t>Keflavik: Welcome to Iceland</t>
  </si>
  <si>
    <t>Reykjavik: Spend time at leisure</t>
  </si>
  <si>
    <t>08.07.2026</t>
  </si>
  <si>
    <t>Day 2</t>
  </si>
  <si>
    <t>Activity</t>
  </si>
  <si>
    <t>Day 3</t>
  </si>
  <si>
    <t>02.07.2026</t>
  </si>
  <si>
    <t>03.07.2026</t>
  </si>
  <si>
    <t>Day 4</t>
  </si>
  <si>
    <t>04.07.2026</t>
  </si>
  <si>
    <t>Day 5</t>
  </si>
  <si>
    <t>05.07.2026</t>
  </si>
  <si>
    <t>06.07.2026</t>
  </si>
  <si>
    <t>Day 6</t>
  </si>
  <si>
    <t>Day 7</t>
  </si>
  <si>
    <t>Departure</t>
  </si>
  <si>
    <t>07.07.2026</t>
  </si>
  <si>
    <t>Vik: Ice Cave Underneath Katla Volcano Super Jeep Tour - Time: 6:00 pm - 9:00 pm - Meeting point: Tröll Expeditions Katla Ice Cave, Víkubraut 26 - Includes: Stunning ride on a super jeep, Certified glacier guide, Visit to a natural ice cave, All safety ice cave equipment, Scenic landscapes viewing</t>
  </si>
  <si>
    <t>https://booknordics.com/iceland/southern-iceland/vik/katla-ice-cave-super-jeep-from-vik</t>
  </si>
  <si>
    <t>https://booknordics.com/iceland/western-iceland/reykjavik/flyover-iceland</t>
  </si>
  <si>
    <t>https://booknordics.com/iceland/southern-iceland/vik/lava-show-vik-the-original</t>
  </si>
  <si>
    <t>https://booknordics.com/iceland/western-iceland/reykjavik/reykjavik-classic-whales-in-the-midnight-sun</t>
  </si>
  <si>
    <t>Car</t>
  </si>
  <si>
    <t>Drive</t>
  </si>
  <si>
    <t>Flight</t>
  </si>
  <si>
    <t>27.06.2026</t>
  </si>
  <si>
    <t>11.07.2026</t>
  </si>
  <si>
    <t>28.06.2026</t>
  </si>
  <si>
    <t>Keflavik: Pick up your rental car at Keflavik Airport Car rental office</t>
  </si>
  <si>
    <t>Keflavik: Drive to your accommodaiton</t>
  </si>
  <si>
    <t>29.06.2026</t>
  </si>
  <si>
    <t>30.06.2026</t>
  </si>
  <si>
    <t>Vik: Check in to your accommodation for a  2 night stay -  - 2 x double room - breakfast included</t>
  </si>
  <si>
    <t>Lava</t>
  </si>
  <si>
    <t>Ice Cave</t>
  </si>
  <si>
    <t>Vik: Spend time at leisure</t>
  </si>
  <si>
    <t>https://www.google.no/maps/dir/V%C3%ADk+%C3%AD+M%C3%BDrdal,+870,+Island/Keri%C3%B0,+805+Klausturholar,+Island/Fri%C3%B0heimar,+5HH4%2B225,+Fri%C3%B0heimar,+806+Reykholt,+Island/Gullfoss+Waterfall+Lookout,+above,+Gullfoss+Parking,+Island/Geysir+Hot+Springs,+333,+806,+Island/%C3%96xar%C3%A1rfoss,+7V8J%2B8RH,+806+Thingvellir,+Island/Reykjav%C3%ADk,+Island/@64.0776152,-20.5649188,170091m/data=!3m1!1e3!4m44!4m43!1m5!1m1!1s0x48d74a424936b0d1:0xbe83531b006d778d!2m2!1d-18.9974396!2d63.4176505!1m5!1m1!1s0x48d68bb755f6f257:0x515a44e0c12ed907!2m2!1d-20.8851466!2d64.0412785!1m5!1m1!1s0x48d696fbe383f7bb:0xdee6f1f7177295af!2m2!1d-20.4448859!2d64.177503!1m5!1m1!1s0x48d6a5f34f4c88b1:0xd3558f2a84b426ba!2m2!1d-20.1244323!2d64.326181!1m5!1m1!1s0x48d6a3ec33d9dc1f:0xda8b28dafde977e5!2m2!1d-20.299508!2d64.3137795!1m5!1m1!1s0x48d6811eadf0fd95:0x48dd72aa97e36e57!2m2!1d-21.117885!2d64.2658062!1m5!1m1!1s0x48d674b9eedcedc3:0xec912ca230d26071!2m2!1d-21.9407552!2d64.1469868!3e0?entry=ttu&amp;g_ep=EgoyMDI2MDQwNy4wIKXMDSoASAFQAw%3D%3D</t>
  </si>
  <si>
    <t>Vik: Drive to Selfoss, then embark on the Golden Circle - Driving time: 4hrs 40 minutes (without stops) - Things to see:  Kerið Crater Lake, Fridheimar Tomato Farm, Gullfoss Waterfall, Geysir Hot Spring, Efstidalur Dairy Farm, Öxarárfoss Waterfall, Thingvellir National Park</t>
  </si>
  <si>
    <t>Reykjavik: Check in to your accommodation for a  4 night stay -  - 2 x double room - breakfast included</t>
  </si>
  <si>
    <t>01.07.2026</t>
  </si>
  <si>
    <t>Optional</t>
  </si>
  <si>
    <t>Fly oVer</t>
  </si>
  <si>
    <t>Whale MidNightsun</t>
  </si>
  <si>
    <t>Sky Lagoon</t>
  </si>
  <si>
    <t>Reykjavik: Drive to Keflavik Airport</t>
  </si>
  <si>
    <t xml:space="preserve">Reykjavik: Self guided roadtrip to Snæfellnes - </t>
  </si>
  <si>
    <t>Keflavik: Deliver your rental car at the airport car rental office</t>
  </si>
  <si>
    <t>Keflavik: Flight to Oslo - Time:  - Luggage included: 1 x 23 kg check in and 1 x 8 kg carry on per person</t>
  </si>
  <si>
    <t>Oslo: Private transfer to your accommodation</t>
  </si>
  <si>
    <t>Oslo: Check in to your accommodation for a X night stay - 2 x double room - breakfast included</t>
  </si>
  <si>
    <t>Oslo: Spend time at leisure</t>
  </si>
  <si>
    <t>Day 8</t>
  </si>
  <si>
    <t>Day 9</t>
  </si>
  <si>
    <t>Oslo: Self transfer to Oslo Central Station</t>
  </si>
  <si>
    <t>NIAN</t>
  </si>
  <si>
    <t>Day 10</t>
  </si>
  <si>
    <t>Bergen: Private transfer to your accommodation</t>
  </si>
  <si>
    <t>Bergen: Spend time at leisure</t>
  </si>
  <si>
    <t>Fløy</t>
  </si>
  <si>
    <t>Mostarumen</t>
  </si>
  <si>
    <t>Day 11</t>
  </si>
  <si>
    <t>Day 12</t>
  </si>
  <si>
    <t>Ålesund: Spend time at leisure</t>
  </si>
  <si>
    <t>Gudvangen: Self transfer to your accommodation</t>
  </si>
  <si>
    <t>Gudvangen: Spend time at leisure</t>
  </si>
  <si>
    <t>Day 13</t>
  </si>
  <si>
    <t>09.07.2026</t>
  </si>
  <si>
    <t>Day 14</t>
  </si>
  <si>
    <t>10.07.2026</t>
  </si>
  <si>
    <t>Day 15</t>
  </si>
  <si>
    <t>Oslo: Departure home</t>
  </si>
  <si>
    <t>Gudvangen: Self transfer to XXX</t>
  </si>
  <si>
    <t>Gudvangen: NINA</t>
  </si>
  <si>
    <t>Bergen: Check in to your accommodation for a 2 night stay - 2 x double room - breakfast included</t>
  </si>
  <si>
    <t>Ålesund: Check in to your accommodation for a 2 night stay - 2 x double room - breakfast included</t>
  </si>
  <si>
    <t>Oslo: Check in to your accommodation for a 1 night stay - 2 x double room - breakfast included</t>
  </si>
  <si>
    <t>Oslo: Private transfer to Oslo Airport</t>
  </si>
  <si>
    <t>Ålesund: Flight to Oslo - Time:  - Luggage included: 1 x 23 kg check in and 1 x 8 kg carry on per person</t>
  </si>
  <si>
    <t>Ålesund: Private transfer to Ålesund Airport</t>
  </si>
  <si>
    <t>Geiranger</t>
  </si>
  <si>
    <t xml:space="preserve">Ålesund: </t>
  </si>
  <si>
    <t>Bergen: Flight to Ålesund - Time:  - Luggage included: 1 x 23 kg check in and 1 x 8 kg carry on per person</t>
  </si>
  <si>
    <t>Bergen: Private transfer to Bergen Airport</t>
  </si>
  <si>
    <t>Gudvangen: Check in to your accommodation for a 1 night stay - Gudvangen Fjordtell - 2 x double room - breakfast included</t>
  </si>
  <si>
    <t>https://app.hotelbeds.com/factsheet/stay/1087626?check_in=05-07-2026&amp;check_out=06-07-2026&amp;occupancy=2~0_2~0&amp;packaging=true</t>
  </si>
  <si>
    <t>28.07.2026</t>
  </si>
  <si>
    <t>Vik: Check in to your accommodation for a  2 night stay - Hotel Katla by Keahotels - 2 x Superior Double room - breakfast included</t>
  </si>
  <si>
    <t>Keflavik: Pick up your rental car at Keflavik Airport Car rental office - Car: Ford Kuga 4x4 - Automatic or similar - Includes: Unlimited milage, Airport service charge, Other taxes and service charges, Supplementary liability insurance, Collision damage waiver, Fuel information, Third party coverage, Theft protection, Vat</t>
  </si>
  <si>
    <t>Reykjavik: Check in to your accommodation for a  1 night stay - Grandi by Center Hotels - 2 x Standard twin/double - breakfast included</t>
  </si>
  <si>
    <t>https://app.hotelbeds.com/factsheet/stay/749447?check_in=27-06-2026&amp;check_out=28-06-2026&amp;occupancy=2~0_2~0&amp;packaging=true</t>
  </si>
  <si>
    <t>https://www.ratehawk.com/hotel/iceland/vik_i_myrdal/mid7524341/hotel_hofdabrekka_country_hotel/?q=6130429&amp;dates=28.06.2026-30.06.2026&amp;guests=2-2&amp;payment=freecancellation&amp;price=one&amp;sid=22ec769a-b117-452f-befc-9c97bff50e0a</t>
  </si>
  <si>
    <t>Vik: Lava Show Vík - Time: 11:00 am - 12:00 pm - Meeeting point: Icelandic Lava Show, Víkurbraut 5 - Includes: A chance to get up close to real flowing lava, The only live lava show in the world, Security goggles, A live host makes the show fun and personal, A short educational video about Icelandic volcanism, A true story from the 1918 Katla eruption, A sensory loaded experience - you feel the heat from the lava, A Q&amp;A session at the end of the show, A unique once-in-a-lifetime experience</t>
  </si>
  <si>
    <t>Reykjavik: Check in to your accommodation for a 3 night stay - Grandi by Center Hotels - 2 x Standard twin/double - breakfast included</t>
  </si>
  <si>
    <t>https://app.hotelbeds.com/factsheet/stay/749447?check_in=30-06-2026&amp;check_out=03-07-2026&amp;occupancy=2~0_2~0&amp;packaging=true</t>
  </si>
  <si>
    <t xml:space="preserve">Reykjavik: Drive to Vik - Drivign time: </t>
  </si>
  <si>
    <t>Reykjavik: Sky Lagoon Sér Pass with Transfer - Time: 2:00 pm - 4:30 pm - Meeting point: Hotel Pick up - Includes: Bus fare, Sky Lagoon Sér Admission, Complete Seven-step Ritual, Private Changing Facilities, Towel</t>
  </si>
  <si>
    <t>https://booknordics.com/iceland/western-iceland/reykjavik/sky-lagoon-sky-pass-with-transfer</t>
  </si>
  <si>
    <t>Reykjavik: FlyOver Iceland - Time: 12:30 pm - 1:30 pm - Meeting point: Fiskislóð 43 - Includes: Entry or admission fee, FlyOver Iceland Pursuit</t>
  </si>
  <si>
    <t>Reykjavík: Classic Whale Watching under the Midnight Sun - Time: 8:30 pm - 11:30 pm - Meeting point: Elding ticket office, Ægisgarður 5c -Includes: 2-3,5 hours whale watching tour, Access to our Wildlife Exhibition, Excellent live commentary in English, Use of warm overalls &amp; mellow music</t>
  </si>
  <si>
    <t>Oslo: Check in to your accommodation for a 2 night stay - Clarion Hotel The Hub - 2 x double room - breakfast included</t>
  </si>
  <si>
    <t>https://app.hotelbeds.com/factsheet/stay/7398?check_in=03-07-2026&amp;check_out=05-07-2026&amp;occupancy=2~0_2~0&amp;packaging=true</t>
  </si>
  <si>
    <t>Keflavik: Flight to Oslo - Time: 09:10 am - 1:50 pm - Luggage included: 1 x 23 kg check in and 1 x 8 kg carry on per person</t>
  </si>
  <si>
    <t>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t>
  </si>
  <si>
    <t>Bergen: Check in to your accommodation for a 2 night stay - Clarion Hotel Admiral - 2 x double room - breakfast included</t>
  </si>
  <si>
    <t>https://app.hotelbeds.com/factsheet/stay/70255?check_in=06-07-2026&amp;check_out=08-07-2026&amp;occupancy=2~0_2~0&amp;packaging=true</t>
  </si>
  <si>
    <t>Oslo: Fjord Sightseeing Cruise by 100% Electric Boat - Time: 1:30 pm - 3:30 pm - Meeting point: Rådhusbrygge 4, Platform E - Includes: Oslo Fjord archipelago cruise by electric boat, Cafeteria with snacks and drinks for purchase, "Voice of Norway" Audio guide for download, Stop at the Bygdøy peninsula near to museums</t>
  </si>
  <si>
    <t>https://booknordics.com/norway/eastern-norway/oslo/oslofjord-sightseeing-cruise</t>
  </si>
  <si>
    <t>Oslo: Norway in a Nutshell tour to Bergen, with a 1 night stay in Gudvangen -  Time: 08:23 am - 5:00 pm - Includes: Train tickets Oslo to Bergen, Train tickets Flåm to Myrdal, Fjord Cruisee Flåm to Gudvangen</t>
  </si>
  <si>
    <t>https://www.fjordtours.com/en/norway/booking/tour/norway-in-a-nutshell/b1205fbc-1045-45fb-a099-1d3be8f4aa58/5c582628-ae09-482f-93bf-e41e16e39ac0</t>
  </si>
  <si>
    <t>Gudvangen: Self transfer to Gudvangen Bus Stop</t>
  </si>
  <si>
    <t>Gudvangen: Norway in a Nutshell to Bergen - Time: 11:40 am - 2:15 pm - Includes: Bus Tickets Gudvangen to Voss, Train tickets Voss to Bergen</t>
  </si>
  <si>
    <t>https://booknordics.com/norway/western-fjord-norway/bergen-and-hardanger/mostraumen-fjord-waterfall-cruise</t>
  </si>
  <si>
    <t>Bergen: Fløybanen Funicular Tickets - Time: Flexible - Meeting point: Fløybanen</t>
  </si>
  <si>
    <t>Bergen: Mostraumen Majestic Fjord &amp; Waterfall Cruise - Time: 5:00 pm - 7:00 pm - Meeting point: Börshopen Pier, Strandkaien 13 - Round-trip criose Bergen to Mostraumen to Bergen</t>
  </si>
  <si>
    <t>https://www.btservice.no/private-cruiseport-transfer</t>
  </si>
  <si>
    <t>https://www.floyen.no/floibanen/kjop-billetter</t>
  </si>
  <si>
    <t>Bergen: Flight to Ålesund - Time: 11:00 am - 11:50 am - Luggage included: 1 x 23 kg check in and 1 x 8 kg carry on per person</t>
  </si>
  <si>
    <t>https://www.wideroe.no/booking/booking#/select-flight</t>
  </si>
  <si>
    <t>Ålesund: Private transfer to your accommodation</t>
  </si>
  <si>
    <t>Ålesund: Check in to your accommodation for a 2 night stay - Quality Hotel Waterfront - 2 x double room - breakfast included</t>
  </si>
  <si>
    <t>https://app.hotelbeds.com/factsheet/stay/189134?check_in=08-07-2026&amp;check_out=10-07-2026&amp;occupancy=2~0_2~0&amp;packaging=true</t>
  </si>
  <si>
    <t>Ålesund: Flight to Oslo - Time: 4:15 pm - 5:10 pm - Luggage included: 1 x 23 kg check in and 1 x 8 kg carry on per person</t>
  </si>
  <si>
    <t>Oslo: Self transfer to your accommodation</t>
  </si>
  <si>
    <t>Oslo: Self transfer to Oslo Airport</t>
  </si>
  <si>
    <t xml:space="preserve">Ålesund: Round Trip Fjord Cruise to Geiranger - Time: 08:30 am - 6:00 pm - Departure Ålesund: 08:30 am - Meeting point: Skutvika,  Nedre Strandgate 53 - Arrival Geiranger: 11:30 am - Departure Geiranger: 3:00 pm - Arrival Ålesund: 6:00 pm - Includes: Return tickets Ålesund - Geiranger - Ålesund, scenic fjord cruise </t>
  </si>
  <si>
    <t>https://www.geirangerfjord.no/</t>
  </si>
  <si>
    <t>Oslo: Check in to your accommodation for a 1 night stay -Clarion Hotel Oslo Airport - 2 x double room - breakfast included</t>
  </si>
  <si>
    <t>https://app.hotelbeds.com/factsheet/stay/107785?check_in=10-07-2026&amp;check_out=11-07-2026&amp;occupancy=2~0_2~0&amp;packaging=true</t>
  </si>
  <si>
    <t>Tranfser</t>
  </si>
  <si>
    <t>Keflavik: Private transfer to your accommodation</t>
  </si>
  <si>
    <t>Reykjavik: Self transfer by Uber to the car rental office</t>
  </si>
  <si>
    <t>Reykjavik: Drive to Vik - Driving time: 2hrs 40 minutes</t>
  </si>
  <si>
    <t>Asborgir: Check in to your accommodaiton for a 1 night stay - Hotel Grimsborgir by Keahotels - 2 x Double deluxe - Breakfast included</t>
  </si>
  <si>
    <t>Asborgir: Spend time at leisure</t>
  </si>
  <si>
    <t>Vik: Drive to Asborgir - Things to see: Hella, Seashells beach, Black Sand Dunes, Selfoss</t>
  </si>
  <si>
    <t>Asborgir: Drive to Reykjavik via the Golden Circle - Driving time: 3 hrs (without stops) - Things to see:  Kerið Crater Lake, Fridheimar Tomato Farm (perfect stop for lunch), Gullfoss Waterfall, Geysir Hot Spring, Efstidalur Dairy Farm, Öxarárfoss Waterfall, Thingvellir National Park</t>
  </si>
  <si>
    <t>Reykjavik: Sky Lagoon Sér Pass with Transfer - Time: 5:00 pm - 7:30 pm - Meeting point: Hotel Pick up - Includes: Bus fare, Sky Lagoon Sér Admission, Complete Seven-step Ritual, Private Changing Facilities, Towel</t>
  </si>
  <si>
    <t>https://www.google.no/maps/dir/Gr%C3%ADmsborgir+-+Restaurant+and+Bar,+805+Selfoss,+Island/Keri%C3%B0,+805+Klausturholar,+Island/Fri%C3%B0heimar,+5HH4%2B225,+Fri%C3%B0heimar,+806+Reykholt,+Island/Gullfoss+Waterfall+Lookout,+above,+Gullfoss+Parking,+Island/Geysir+Hot+Springs,+333,+806,+Island/Efstidalur+II,+Bl%C3%A1sk%C3%B3gabygg%C3%B0,+801+Laugarvatn,+Island/%C3%96xar%C3%A1rfoss,+7V8J%2B8RH,+806+Thingvellir,+Island/Reykjav%C3%ADk,+Island/@64.1688511,-21.6918568,121628m/data=!3m1!1e3!4m50!4m49!1m5!1m1!1s0x48d68b942e2bd0e5:0x5a7a846e86721d79!2m2!1d-20.9667166!2d64.0521039!1m5!1m1!1s0x48d68bb755f6f257:0x515a44e0c12ed907!2m2!1d-20.8851466!2d64.0412785!1m5!1m1!1s0x48d696fbe383f7bb:0xdee6f1f7177295af!2m2!1d-20.4448859!2d64.177503!1m5!1m1!1s0x48d6a5f34f4c88b1:0xd3558f2a84b426ba!2m2!1d-20.1244323!2d64.326181!1m5!1m1!1s0x48d6a3ec33d9dc1f:0xda8b28dafde977e5!2m2!1d-20.299508!2d64.3137795!1m5!1m1!1s0x48d699ea8baff6ab:0x27379b3ab3273542!2m2!1d-20.5516435!2d64.2424477!1m5!1m1!1s0x48d6811eadf0fd95:0x48dd72aa97e36e57!2m2!1d-21.117885!2d64.2658062!1m5!1m1!1s0x48d674b9eedcedc3:0xec912ca230d26071!2m2!1d-21.9407552!2d64.1469868!3e0?entry=ttu&amp;g_ep=EgoyMDI2MDQwOC4wIKXMDSoASAFQAw%3D%3D</t>
  </si>
  <si>
    <t>https://app.hotelbeds.com/factsheet/stay/257043?check_in=30-06-2026&amp;check_out=01-07-2026&amp;occupancy=2~0_2~0&amp;packaging=true</t>
  </si>
  <si>
    <t>Reykjavik: Check in to your accommodation for a  1 night stay - Grandi by Center Hotels - 2 x Double deluxe - breakfast included</t>
  </si>
  <si>
    <t>Reykjavik: Check in to your accommodation for a 2 night stay - Borg by Keahotels - 2 x Deluxe room - breakfast included</t>
  </si>
  <si>
    <t>https://app.hotelbeds.com/factsheet/stay/90467?check_in=01-07-2026&amp;check_out=03-07-2026&amp;occupancy=2~0_2~0&amp;packaging=true</t>
  </si>
  <si>
    <t>Reykjavik: Pick up your rental car at the car rental office - Car: TOYOTA RAV4 2.0 4WD AUTOMATIC or similar - Office Location: Njardargata Fluggardar - Includes: Collision damage waiver, Fuel information, Unlimited mileage, Theft protection, Vat, Personal accident insurance, Cancellation fee - Excludes: 1 way fee, road tax</t>
  </si>
  <si>
    <t>Oslo: Check in to your accommodation for a 2 night stay - Grand Hotel Oslo by Scandic - 2 x Superior king - Breakfast included</t>
  </si>
  <si>
    <t>https://app.hotelbeds.com/factsheet/stay/616601?check_in=03-07-2026&amp;check_out=05-07-2026&amp;occupancy=2~0_2~0&amp;packaging=true</t>
  </si>
  <si>
    <t>Oslo: Norway in a Nutshell tour to Bergen, including Luggage transfer for 4 x luggage -  Time: 08:23 am - 8:38 pm - Includes: Train tickets Oslo to Bergen, Train tickets Flåm to Myrdal, Fjord Cruisee Flåm to Gudvangen - Tour summary: 08:23 am - 1:04 pm: Train from Oslo to Myrdal. 1:24 pm - 2:22 pm: Flåmsbana to Flåm. 3:00 pm - 5:00 pm: Fjord Cruise to Gudangen. 5:25 pm - 6:25 pm: Premium Coach to Voss. 7:14 pm - 8:38 pm: Train to Bergen .</t>
  </si>
  <si>
    <t>Bergen: Check in to your accommodation for a 2 night stay - Bergen Bors - 2 x Suite loft - breakfast included</t>
  </si>
  <si>
    <t>https://app.hotelbeds.com/factsheet/stay/647045?check_in=05-07-2026&amp;check_out=07-07-2026&amp;occupancy=2~0_2~0&amp;packaging=true</t>
  </si>
  <si>
    <t>Ålesund: Drive to your accommodation</t>
  </si>
  <si>
    <t>Ålesund: Drive to Ålesund Airport</t>
  </si>
  <si>
    <t>Ålesund: Deliver your rental car at the Ålesund Airport Car rental office</t>
  </si>
  <si>
    <t>https://app.hotelbeds.com/factsheet/stay/70251?check_in=07-07-2026&amp;check_out=10-07-2026&amp;occupancy=2~0_2~0&amp;packaging=true</t>
  </si>
  <si>
    <t>Ålesund: Check in to your accommodation for a 3 night stay - Hotel Brosundet - 2 x Junior suite - breakfast included</t>
  </si>
  <si>
    <t>Ålesund: Pick up your rental car at the Ålesund Airport Car rental office - Car: SUZUKI S-CROSS - Office location: Flyplassvegen 27 - Includes: Collision damage waiver, Fuel information, Unlimited mileage, Theft protection, Vat, Personal accident insurance, Cancellation fee - Excludes: 1 way fee, road tax</t>
  </si>
  <si>
    <t>https://booking.norwegian.com/booking/flight/0</t>
  </si>
  <si>
    <t>Oslo: Check in to your accommodation for a 1 night stay - Scandic Oslo Airport - 2 x Superior - breakfast included</t>
  </si>
  <si>
    <t>NoHotel</t>
  </si>
  <si>
    <t>Ålesund: Geiranger Road Trip - Drive to Hellesylt, and take the Geiranger Fjord Ferry to Geiranger at 11:00 am. Spend some time at leisuree in Geiranger, before driving back to Ålesund via Sjøholt</t>
  </si>
  <si>
    <t>Ålesund: Atlantic Road Road Trip - Drive from your accommodation to the Atlantic Road. Head up to Kristiansund and spend some time at leisure. Drive to Molde, and head to Molde Panorama. Drive back to your accommodation in Ålesund</t>
  </si>
  <si>
    <t>https://www.fjordtours.com/no/norge/transport/ferge/geiranger-hellesylt</t>
  </si>
  <si>
    <t>Dates: 27.06.2026</t>
  </si>
  <si>
    <t>30.07.2026</t>
  </si>
  <si>
    <t>Reykjavik: Check in to your accommodation for a 1 night stay - Borg by Keahotels - 2 x Deluxe room - breakfast included</t>
  </si>
  <si>
    <t>https://www.ratehawk.com/hotel/iceland/vik_i_myrdal/mid7524341/hotel_hofdabrekka_country_hotel/?q=6130429&amp;dates=30.06.2026-02.07.2026&amp;guests=2-2&amp;price=one&amp;sid=22ec769a-b117-452f-befc-9c97bff50e0a</t>
  </si>
  <si>
    <t>Reykjavik: Check in to your accommodation for a  1 night stay - Borg by Keahotels - 2 x Deluxe room - breakfast included</t>
  </si>
  <si>
    <t>https://app.hotelbeds.com/factsheet/stay/90467?check_in=27-06-2026&amp;check_out=29-06-2026&amp;occupancy=2~0_2~0&amp;packaging=true</t>
  </si>
  <si>
    <t>Reykjavik: Drive the Golden Circle to Asborgir - Driving time: 3 hours - Things to see: Öxarárfoss, Efstidalur, Geysir Hot Springs, Gullfoss Waterfall, Friðheimar, Kerið</t>
  </si>
  <si>
    <t>Asborgir: Check in to your accommodation for a 1 night stay - Grimsborgir by Keahotels - 2 x Superior Room - Breakfast included</t>
  </si>
  <si>
    <t>https://app.hotelbeds.com/factsheet/stay/257043?check_in=29-06-2026&amp;check_out=30-06-2026&amp;occupancy=2~0_2~0&amp;packaging=true</t>
  </si>
  <si>
    <t>https://app.hotelbeds.com/carhire/search?baggage=4&amp;results=20&amp;sortBy=LOWEST_PRICE_FIRST&amp;field=PRICE&amp;direction=ASCENDING&amp;page=2&amp;destinationTab=Reykjav%C3%ADk&amp;pickupDate=29-06-2026&amp;pickupTime=12:00&amp;dropoffDate=03-07-2026&amp;dropoffTime=12:00&amp;sameOfficeCheckbox=false&amp;officePickupControl=1171&amp;officeDropoffControl=701&amp;typeDepartureCode=airport&amp;_timestamp=1776931327625&amp;departureTab=Keflav%C3%ADk%20International%20Airport%20(KEF)&amp;typeArrivalCode=city</t>
  </si>
  <si>
    <t>Asborgir: Drive to Vik - Driving time: 2 hrs - Things to See: Selfoss, Hella, Hvolsvöllur</t>
  </si>
  <si>
    <t xml:space="preserve">Vik: Drive to Reykjavik via the South Coast - Driving time: 2 hrs 30 minutes - Things to see: </t>
  </si>
  <si>
    <t>https://app.hotelbeds.com/factsheet/stay/90467?check_in=02-07-2026&amp;check_out=03-07-2026&amp;occupancy=2~0_2~0&amp;packaging=true</t>
  </si>
  <si>
    <t>Oslo: Norway in a Nutshell tour to Bergen, including Luggage transfer for 4 x luggage -  Time: 08:23 am - 11:18 pm - Includes: Train tickets Oslo to Bergen, Train tickets Flåm to Myrdal, Fjord Cruisee Flåm to Gudvangen - Tour summary: 08:23 am - 1:04 pm: Train from Oslo to Myrdal. 1:24 pm - 2:22 pm: Flåmsbana to Flåm. 5:30 pm - 7:20 pm: Fjord Cruise to Gudangen. 7:30 pm - 8:30 pm: Premium Coach to Voss. 10:06 pm - 11:18 pm: Train to Bergen .</t>
  </si>
  <si>
    <t>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t>
  </si>
  <si>
    <t>Rounded</t>
  </si>
  <si>
    <t>Ålesund: Departure home</t>
  </si>
  <si>
    <t>Extra night in reykjavik, from the 26th</t>
  </si>
  <si>
    <t>Replace mostraumen with food tour</t>
  </si>
  <si>
    <t>Bergen: Food &amp; Culture Walk with Tasting Stops &amp; City Sightseeing - Time: 12:30 pm - 3:30 pm - Meeting point: Tourist Information, Strandkaien 3 - Includes: Knowledgeable, English-speaking guide, Five local food tastings enroute, Water and small beer tasting, Cultural and historical insights</t>
  </si>
  <si>
    <t>https://booknordics.com/norway/western-fjord-norway/bergen-and-hardanger/food-and-culture-walk-city-sightseeing</t>
  </si>
  <si>
    <t>Reykjavik: FlyOver Iceland - Time: 12:30 pm - 1:30 pm - Meeting point: Fiskislóð 43 (self transfer by walking or uber/taxi) - Includes: Entry or admission fee, FlyOver Iceland Pursuit</t>
  </si>
  <si>
    <t>Vik: Check in to your accommodation for a  2 night stay - Signature by Vík Apartments - 2 × Deluxe Double Suite - breakfast included</t>
  </si>
  <si>
    <t>Signature</t>
  </si>
  <si>
    <t>Umi</t>
  </si>
  <si>
    <t>https://www.ratehawk.com/hotel/iceland/vik/mid10880526/signature_by_vik_apartments/?q=6130429&amp;dates=30.06.2026-02.07.2026&amp;guests=2-2&amp;meal_types=breakfast.halfBoard.fullBoard.allInclusive&amp;price=one&amp;sid=3b82181b-20b6-4a76-9b45-efb43ed9ae17</t>
  </si>
  <si>
    <t>https://www.ratehawk.com/hotel/iceland/eyvindarholar/mid8811597/umi_hotel/?q=6130429&amp;dates=30.06.2026-02.07.2026&amp;guests=2-2&amp;meal_types=breakfast.halfBoard.fullBoard.allInclusive&amp;price=one&amp;sid=3b82181b-20b6-4a76-9b45-efb43ed9ae17</t>
  </si>
  <si>
    <t>Skalakot</t>
  </si>
  <si>
    <t>https://www.ratehawk.com/hotel/iceland/hvolsvollur/mid7955794/skalakot_/?q=6130429&amp;dates=30.06.2026-02.07.2026&amp;guests=2-2&amp;meal_types=breakfast.halfBoard.fullBoard.allInclusive&amp;price=one&amp;sid=3b82181b-20b6-4a76-9b45-efb43ed9ae17</t>
  </si>
  <si>
    <t>Reykjavik: Check in to your accommodation for a 2 night stay - Apotek Hotel by Keahotels -2 × Double Junior Suite - breakfast included</t>
  </si>
  <si>
    <t>https://www.ratehawk.com/hotel/iceland/reykjavik/mid6528750/apotek_hotel/?q=6035025&amp;dates=26.06.2026-29.06.2026&amp;guests=2-2&amp;meal_types=breakfast.halfBoard.fullBoard.allInclusive&amp;price=one&amp;sid=3b82181b-20b6-4a76-9b45-efb43ed9ae17</t>
  </si>
  <si>
    <t>https://www.ratehawk.com/hotel/iceland/reykjavik/mid10212475/hotel_reykjavik_saga/?q=6035025&amp;dates=26.06.2026-29.06.2026&amp;guests=2-2&amp;meal_types=breakfast.halfBoard.fullBoard.allInclusive&amp;payment=freecancellation&amp;price=one&amp;sid=f243b007-2b1d-4ac3-b6b1-95ff8c21d8da</t>
  </si>
  <si>
    <t>Hold untill 22.06</t>
  </si>
  <si>
    <t xml:space="preserve">Reykjavik: Check in to your accommodation for a 2 night stay - </t>
  </si>
  <si>
    <t>On hold</t>
  </si>
  <si>
    <t>Oslo: Welcome to Norway</t>
  </si>
  <si>
    <t xml:space="preserve">Vik: Check in to your accommodation for a 1 night stay - Katla Hotel by Keahotels - 2 x Deluxe Rooms - Breakfast included </t>
  </si>
  <si>
    <t>Reykjavik: Drive the south coast to Vik I Myrdal</t>
  </si>
  <si>
    <t>Reykjavik: Self transfer to the car rental office by uber or taxi</t>
  </si>
  <si>
    <t>Asborgir: Check in to your accommodation for a 2 night stay - Grimsborgir by Keahotels - 2 x Double deluxe - breakfast included</t>
  </si>
  <si>
    <t>Vik: Drive to Asborig</t>
  </si>
  <si>
    <t>https://www.ratehawk.com/hotel/iceland/vik_i_myrdal/mid7524341/hotel_hofdabrekka_country_hotel/?q=6130429&amp;dates=28.06.2026-29.06.2026&amp;guests=2-2&amp;price=one&amp;room=s-4b7be616-a7ab-54cb-b360-ab272d394495&amp;serp_price=hotel_hofdabrekka_country_hotel.1024.EUR.sr-019dca54-01ba-7752-ba4c-3359ccd14445&amp;sid=3df2c763-9f7f-4b9a-81f6-f56ee01c47f2</t>
  </si>
  <si>
    <t>https://app.hotelbeds.com/factsheet/stay/257043?check_in=29-06-2026&amp;check_out=01-07-2026&amp;occupancy=2~0_2~0&amp;packaging=true</t>
  </si>
  <si>
    <t>Asborgir: Open slot for activity</t>
  </si>
  <si>
    <t>Asborgir: Drive the Golden Circle to Reykjavik</t>
  </si>
  <si>
    <t>Reykjavik: Open slot for activity</t>
  </si>
  <si>
    <t>https://www.skylagoon.com/booking/rvk-skl-adm-pr/select-time/</t>
  </si>
  <si>
    <t>Reykjavik: Ticket to Sky Lagoon - Ser Tickets - Time: 12:00 pm - Includes: Sky Lagoon Sér Admission, Complete 7-step Ritual with towel, Private changing facilities</t>
  </si>
  <si>
    <t>Reykjavik: Check in to your accommodation for a 1 night stay - Reykjavik Saga Hotel - 2 × Deluxe Double room - Breakfast included</t>
  </si>
  <si>
    <t>https://www.ratehawk.com/hotel/iceland/reykjavik/mid10212475/hotel_reykjavik_saga/?q=6035025&amp;dates=26.06.2026-28.06.2026&amp;guests=2-2&amp;meal_types=allInclusive.fullBoard.halfBoard.breakfast&amp;payment=freecancellation&amp;price=one&amp;sid=bd4ceea8-4312-4aba-9bd5-a653a409eb9f</t>
  </si>
  <si>
    <t>Reykjavik: Check in to your accommodation for a 2 night stay - Hotel Borg by Keahotels - 2 × Deluxe Double room - Breakfast included</t>
  </si>
  <si>
    <t>https://www.ratehawk.com/hotel/iceland/reykjavik/mid7350981/hotel_borg/?q=6035025&amp;dates=01.07.2026-03.07.2026&amp;guests=2-2&amp;meal_types=allInclusive.fullBoard.halfBoard.breakfast&amp;payment=freecancellation&amp;price=one&amp;sid=bd4ceea8-4312-4aba-9bd5-a653a409eb9f</t>
  </si>
  <si>
    <t>Reykjavik: Pick up your rental car at the car rental office  - TOYOTA RAV4 2.0 4WD AUTOMATIC or similar - Pick up office: NJARDARGATA FLUGGARDAR - Includes: Collision damage waiver, Fuel information, Unlimited mileage, Theft protection, Vat, Personal accident insurance, Cancellation fee - Excludes: 1 way fee, road tax</t>
  </si>
  <si>
    <t>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</si>
</sst>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sz val="11"/>
      <color rgb="FF33475B"/>
      <name val="Arial"/>
      <family val="2"/>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8">
    <xf numFmtId="0" fontId="0" fillId="0" borderId="0" xfId="0"/>
    <xf numFmtId="0" fontId="0" fillId="2" borderId="0" xfId="0" applyFill="1"/>
    <xf numFmtId="164" fontId="0" fillId="2" borderId="0" xfId="0" applyNumberFormat="1" applyFill="1"/>
    <xf numFmtId="164" fontId="0" fillId="2" borderId="0" xfId="0" applyNumberFormat="1" applyFill="1" applyAlignment="1">
      <alignment horizontal="left"/>
    </xf>
    <xf numFmtId="0" fontId="0" fillId="2" borderId="0" xfId="0" applyFill="1" applyAlignment="1">
      <alignment horizontal="center"/>
    </xf>
    <xf numFmtId="9" fontId="0" fillId="2" borderId="0" xfId="0" applyNumberFormat="1" applyFill="1" applyAlignment="1">
      <alignment horizontal="center"/>
    </xf>
    <xf numFmtId="49" fontId="0" fillId="2" borderId="0" xfId="0" applyNumberFormat="1" applyFill="1" applyAlignment="1">
      <alignment horizontal="center" vertical="distributed" wrapText="1"/>
    </xf>
    <xf numFmtId="49" fontId="2" fillId="3" borderId="1" xfId="0" applyNumberFormat="1" applyFont="1" applyFill="1" applyBorder="1" applyAlignment="1">
      <alignment horizontal="center" vertical="distributed" wrapText="1"/>
    </xf>
    <xf numFmtId="3" fontId="2" fillId="3" borderId="1" xfId="0" applyNumberFormat="1" applyFont="1" applyFill="1" applyBorder="1" applyAlignment="1">
      <alignment horizontal="center" vertical="distributed" wrapText="1"/>
    </xf>
    <xf numFmtId="3" fontId="0" fillId="2" borderId="0" xfId="0" applyNumberFormat="1" applyFill="1" applyAlignment="1">
      <alignment horizontal="center"/>
    </xf>
    <xf numFmtId="3" fontId="0" fillId="2" borderId="0" xfId="0" applyNumberFormat="1" applyFill="1"/>
    <xf numFmtId="0" fontId="0" fillId="3" borderId="0" xfId="0" applyFill="1" applyAlignment="1">
      <alignment horizontal="center"/>
    </xf>
    <xf numFmtId="3" fontId="0" fillId="4" borderId="0" xfId="0" applyNumberFormat="1" applyFill="1" applyAlignment="1">
      <alignment horizontal="center"/>
    </xf>
    <xf numFmtId="9" fontId="0" fillId="4" borderId="0" xfId="1" applyFont="1" applyFill="1" applyAlignment="1">
      <alignment horizontal="center"/>
    </xf>
    <xf numFmtId="0" fontId="2" fillId="2" borderId="2" xfId="0" applyFont="1" applyFill="1" applyBorder="1"/>
    <xf numFmtId="3" fontId="2" fillId="2" borderId="2" xfId="0" applyNumberFormat="1" applyFont="1" applyFill="1" applyBorder="1"/>
    <xf numFmtId="4" fontId="0" fillId="2" borderId="0" xfId="0" applyNumberFormat="1" applyFill="1" applyAlignment="1">
      <alignment horizontal="center"/>
    </xf>
    <xf numFmtId="9" fontId="0" fillId="2" borderId="0" xfId="0" applyNumberFormat="1" applyFill="1"/>
    <xf numFmtId="2" fontId="0" fillId="2" borderId="0" xfId="0" applyNumberFormat="1" applyFill="1"/>
    <xf numFmtId="165" fontId="0" fillId="2" borderId="0" xfId="1" applyNumberFormat="1" applyFont="1" applyFill="1"/>
    <xf numFmtId="2" fontId="0" fillId="2" borderId="0" xfId="0" applyNumberFormat="1" applyFill="1" applyAlignment="1">
      <alignment horizontal="center"/>
    </xf>
    <xf numFmtId="9" fontId="2" fillId="2" borderId="2" xfId="1" applyFont="1" applyFill="1" applyBorder="1"/>
    <xf numFmtId="0" fontId="3" fillId="2" borderId="0" xfId="2" applyFill="1"/>
    <xf numFmtId="3" fontId="0" fillId="2" borderId="0" xfId="0" applyNumberFormat="1" applyFill="1" applyAlignment="1">
      <alignment horizontal="left"/>
    </xf>
    <xf numFmtId="164" fontId="0" fillId="2" borderId="0" xfId="0" quotePrefix="1" applyNumberFormat="1" applyFill="1" applyAlignment="1">
      <alignment horizontal="left"/>
    </xf>
    <xf numFmtId="0" fontId="0" fillId="5" borderId="0" xfId="0" applyFill="1" applyAlignment="1">
      <alignment horizontal="center"/>
    </xf>
    <xf numFmtId="3" fontId="0" fillId="5" borderId="0" xfId="0" applyNumberFormat="1" applyFill="1" applyAlignment="1">
      <alignment horizontal="center"/>
    </xf>
    <xf numFmtId="0" fontId="0" fillId="2" borderId="0" xfId="0" applyFill="1" applyAlignment="1">
      <alignment horizontal="left"/>
    </xf>
    <xf numFmtId="0" fontId="4" fillId="2" borderId="2" xfId="0" applyFont="1" applyFill="1" applyBorder="1"/>
    <xf numFmtId="0" fontId="3" fillId="0" borderId="0" xfId="2"/>
    <xf numFmtId="164" fontId="4" fillId="2" borderId="2" xfId="0" applyNumberFormat="1" applyFont="1" applyFill="1" applyBorder="1"/>
    <xf numFmtId="4" fontId="4" fillId="2" borderId="2" xfId="0" applyNumberFormat="1" applyFont="1" applyFill="1" applyBorder="1" applyAlignment="1">
      <alignment horizontal="left"/>
    </xf>
    <xf numFmtId="3" fontId="4" fillId="2" borderId="2" xfId="0" applyNumberFormat="1" applyFont="1" applyFill="1" applyBorder="1"/>
    <xf numFmtId="0" fontId="3" fillId="2" borderId="0" xfId="2" applyFill="1" applyAlignment="1">
      <alignment horizontal="left"/>
    </xf>
    <xf numFmtId="3" fontId="0" fillId="6" borderId="0" xfId="0" applyNumberFormat="1" applyFill="1" applyAlignment="1">
      <alignment horizontal="center"/>
    </xf>
    <xf numFmtId="0" fontId="5" fillId="0" borderId="0" xfId="0" applyFont="1" applyAlignment="1">
      <alignment wrapText="1"/>
    </xf>
    <xf numFmtId="3" fontId="3" fillId="2" borderId="0" xfId="2" applyNumberFormat="1" applyFill="1" applyAlignment="1">
      <alignment horizontal="left"/>
    </xf>
    <xf numFmtId="2" fontId="3" fillId="2" borderId="0" xfId="2" applyNumberFormat="1" applyFill="1" applyAlignment="1">
      <alignment horizontal="lef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hotelbeds.com/factsheet/stay/1087626?check_in=05-07-2026&amp;check_out=06-07-2026&amp;occupancy=2~0_2~0&amp;packaging=tru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booknordics.com/iceland/western-iceland/reykjavik/flyover-iceland" TargetMode="External"/><Relationship Id="rId13" Type="http://schemas.openxmlformats.org/officeDocument/2006/relationships/hyperlink" Target="https://booknordics.com/norway/eastern-norway/oslo/oslofjord-sightseeing-cruise" TargetMode="External"/><Relationship Id="rId18" Type="http://schemas.openxmlformats.org/officeDocument/2006/relationships/hyperlink" Target="https://www.floyen.no/floibanen/kjop-billetter" TargetMode="External"/><Relationship Id="rId3" Type="http://schemas.openxmlformats.org/officeDocument/2006/relationships/hyperlink" Target="https://www.ratehawk.com/hotel/iceland/vik_i_myrdal/mid7524341/hotel_hofdabrekka_country_hotel/?q=6130429&amp;dates=28.06.2026-30.06.2026&amp;guests=2-2&amp;payment=freecancellation&amp;price=one&amp;sid=22ec769a-b117-452f-befc-9c97bff50e0a" TargetMode="External"/><Relationship Id="rId21" Type="http://schemas.openxmlformats.org/officeDocument/2006/relationships/hyperlink" Target="https://app.hotelbeds.com/factsheet/stay/189134?check_in=08-07-2026&amp;check_out=10-07-2026&amp;occupancy=2~0_2~0&amp;packaging=true" TargetMode="External"/><Relationship Id="rId7" Type="http://schemas.openxmlformats.org/officeDocument/2006/relationships/hyperlink" Target="https://booknordics.com/iceland/western-iceland/reykjavik/sky-lagoon-sky-pass-with-transfer" TargetMode="External"/><Relationship Id="rId12" Type="http://schemas.openxmlformats.org/officeDocument/2006/relationships/hyperlink" Target="https://app.hotelbeds.com/factsheet/stay/70255?check_in=06-07-2026&amp;check_out=08-07-2026&amp;occupancy=2~0_2~0&amp;packaging=true" TargetMode="External"/><Relationship Id="rId17" Type="http://schemas.openxmlformats.org/officeDocument/2006/relationships/hyperlink" Target="https://www.btservice.no/private-cruiseport-transfer" TargetMode="External"/><Relationship Id="rId2" Type="http://schemas.openxmlformats.org/officeDocument/2006/relationships/hyperlink" Target="https://app.hotelbeds.com/factsheet/stay/749447?check_in=27-06-2026&amp;check_out=28-06-2026&amp;occupancy=2~0_2~0&amp;packaging=true" TargetMode="External"/><Relationship Id="rId16" Type="http://schemas.openxmlformats.org/officeDocument/2006/relationships/hyperlink" Target="https://www.btservice.no/private-cruiseport-transfer" TargetMode="External"/><Relationship Id="rId20" Type="http://schemas.openxmlformats.org/officeDocument/2006/relationships/hyperlink" Target="https://www.wideroe.no/booking/booking" TargetMode="External"/><Relationship Id="rId1" Type="http://schemas.openxmlformats.org/officeDocument/2006/relationships/hyperlink" Target="https://app.hotelbeds.com/factsheet/stay/1087626?check_in=05-07-2026&amp;check_out=06-07-2026&amp;occupancy=2~0_2~0&amp;packaging=true" TargetMode="External"/><Relationship Id="rId6" Type="http://schemas.openxmlformats.org/officeDocument/2006/relationships/hyperlink" Target="https://app.hotelbeds.com/factsheet/stay/749447?check_in=30-06-2026&amp;check_out=03-07-2026&amp;occupancy=2~0_2~0&amp;packaging=true" TargetMode="External"/><Relationship Id="rId11" Type="http://schemas.openxmlformats.org/officeDocument/2006/relationships/hyperlink" Target="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TargetMode="External"/><Relationship Id="rId24" Type="http://schemas.openxmlformats.org/officeDocument/2006/relationships/printerSettings" Target="../printerSettings/printerSettings2.bin"/><Relationship Id="rId5" Type="http://schemas.openxmlformats.org/officeDocument/2006/relationships/hyperlink" Target="https://booknordics.com/iceland/southern-iceland/vik/lava-show-vik-the-original" TargetMode="External"/><Relationship Id="rId15" Type="http://schemas.openxmlformats.org/officeDocument/2006/relationships/hyperlink" Target="https://booknordics.com/norway/western-fjord-norway/bergen-and-hardanger/mostraumen-fjord-waterfall-cruise" TargetMode="External"/><Relationship Id="rId23" Type="http://schemas.openxmlformats.org/officeDocument/2006/relationships/hyperlink" Target="https://app.hotelbeds.com/factsheet/stay/107785?check_in=10-07-2026&amp;check_out=11-07-2026&amp;occupancy=2~0_2~0&amp;packaging=true" TargetMode="External"/><Relationship Id="rId10" Type="http://schemas.openxmlformats.org/officeDocument/2006/relationships/hyperlink" Target="https://app.hotelbeds.com/factsheet/stay/7398?check_in=03-07-2026&amp;check_out=05-07-2026&amp;occupancy=2~0_2~0&amp;packaging=true" TargetMode="External"/><Relationship Id="rId19" Type="http://schemas.openxmlformats.org/officeDocument/2006/relationships/hyperlink" Target="https://www.wideroe.no/booking/booking" TargetMode="External"/><Relationship Id="rId4" Type="http://schemas.openxmlformats.org/officeDocument/2006/relationships/hyperlink" Target="https://booknordics.com/iceland/southern-iceland/vik/katla-ice-cave-super-jeep-from-vik" TargetMode="External"/><Relationship Id="rId9" Type="http://schemas.openxmlformats.org/officeDocument/2006/relationships/hyperlink" Target="https://booknordics.com/iceland/western-iceland/reykjavik/reykjavik-classic-whales-in-the-midnight-sun" TargetMode="External"/><Relationship Id="rId14" Type="http://schemas.openxmlformats.org/officeDocument/2006/relationships/hyperlink" Target="https://www.fjordtours.com/en/norway/booking/tour/norway-in-a-nutshell/b1205fbc-1045-45fb-a099-1d3be8f4aa58/5c582628-ae09-482f-93bf-e41e16e39ac0" TargetMode="External"/><Relationship Id="rId22" Type="http://schemas.openxmlformats.org/officeDocument/2006/relationships/hyperlink" Target="https://www.geirangerfjord.no/"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TargetMode="External"/><Relationship Id="rId13" Type="http://schemas.openxmlformats.org/officeDocument/2006/relationships/hyperlink" Target="https://app.hotelbeds.com/factsheet/stay/616601?check_in=03-07-2026&amp;check_out=05-07-2026&amp;occupancy=2~0_2~0&amp;packaging=true" TargetMode="External"/><Relationship Id="rId18" Type="http://schemas.openxmlformats.org/officeDocument/2006/relationships/hyperlink" Target="https://www.wideroe.no/booking/booking" TargetMode="External"/><Relationship Id="rId3" Type="http://schemas.openxmlformats.org/officeDocument/2006/relationships/hyperlink" Target="https://booknordics.com/iceland/southern-iceland/vik/lava-show-vik-the-original" TargetMode="External"/><Relationship Id="rId21" Type="http://schemas.openxmlformats.org/officeDocument/2006/relationships/hyperlink" Target="https://app.hotelbeds.com/factsheet/stay/70251?check_in=07-07-2026&amp;check_out=10-07-2026&amp;occupancy=2~0_2~0&amp;packaging=true" TargetMode="External"/><Relationship Id="rId7" Type="http://schemas.openxmlformats.org/officeDocument/2006/relationships/hyperlink" Target="https://app.hotelbeds.com/factsheet/stay/257043?check_in=30-06-2026&amp;check_out=01-07-2026&amp;occupancy=2~0_2~0&amp;packaging=true" TargetMode="External"/><Relationship Id="rId12" Type="http://schemas.openxmlformats.org/officeDocument/2006/relationships/hyperlink" Target="https://www.fjordtours.com/en/norway/booking/tour/norway-in-a-nutshell/b1205fbc-1045-45fb-a099-1d3be8f4aa58/5c582628-ae09-482f-93bf-e41e16e39ac0" TargetMode="External"/><Relationship Id="rId17" Type="http://schemas.openxmlformats.org/officeDocument/2006/relationships/hyperlink" Target="https://www.btservice.no/private-cruiseport-transfer" TargetMode="External"/><Relationship Id="rId2" Type="http://schemas.openxmlformats.org/officeDocument/2006/relationships/hyperlink" Target="https://booknordics.com/iceland/southern-iceland/vik/katla-ice-cave-super-jeep-from-vik" TargetMode="External"/><Relationship Id="rId16" Type="http://schemas.openxmlformats.org/officeDocument/2006/relationships/hyperlink" Target="https://www.floyen.no/floibanen/kjop-billetter" TargetMode="External"/><Relationship Id="rId20" Type="http://schemas.openxmlformats.org/officeDocument/2006/relationships/hyperlink" Target="https://app.hotelbeds.com/factsheet/stay/107785?check_in=10-07-2026&amp;check_out=11-07-2026&amp;occupancy=2~0_2~0&amp;packaging=true" TargetMode="External"/><Relationship Id="rId1" Type="http://schemas.openxmlformats.org/officeDocument/2006/relationships/hyperlink" Target="https://www.ratehawk.com/hotel/iceland/vik_i_myrdal/mid7524341/hotel_hofdabrekka_country_hotel/?q=6130429&amp;dates=28.06.2026-30.06.2026&amp;guests=2-2&amp;payment=freecancellation&amp;price=one&amp;sid=22ec769a-b117-452f-befc-9c97bff50e0a" TargetMode="External"/><Relationship Id="rId6" Type="http://schemas.openxmlformats.org/officeDocument/2006/relationships/hyperlink" Target="https://booknordics.com/iceland/western-iceland/reykjavik/sky-lagoon-sky-pass-with-transfer" TargetMode="External"/><Relationship Id="rId11" Type="http://schemas.openxmlformats.org/officeDocument/2006/relationships/hyperlink" Target="https://booknordics.com/norway/eastern-norway/oslo/oslofjord-sightseeing-cruise" TargetMode="External"/><Relationship Id="rId24" Type="http://schemas.openxmlformats.org/officeDocument/2006/relationships/printerSettings" Target="../printerSettings/printerSettings3.bin"/><Relationship Id="rId5" Type="http://schemas.openxmlformats.org/officeDocument/2006/relationships/hyperlink" Target="https://booknordics.com/iceland/western-iceland/reykjavik/flyover-iceland" TargetMode="External"/><Relationship Id="rId15" Type="http://schemas.openxmlformats.org/officeDocument/2006/relationships/hyperlink" Target="https://booknordics.com/norway/western-fjord-norway/bergen-and-hardanger/mostraumen-fjord-waterfall-cruise" TargetMode="External"/><Relationship Id="rId23" Type="http://schemas.openxmlformats.org/officeDocument/2006/relationships/hyperlink" Target="https://www.fjordtours.com/no/norge/transport/ferge/geiranger-hellesylt" TargetMode="External"/><Relationship Id="rId10" Type="http://schemas.openxmlformats.org/officeDocument/2006/relationships/hyperlink" Target="https://app.hotelbeds.com/factsheet/stay/90467?check_in=01-07-2026&amp;check_out=03-07-2026&amp;occupancy=2~0_2~0&amp;packaging=true" TargetMode="External"/><Relationship Id="rId19" Type="http://schemas.openxmlformats.org/officeDocument/2006/relationships/hyperlink" Target="https://app.hotelbeds.com/factsheet/stay/647045?check_in=05-07-2026&amp;check_out=07-07-2026&amp;occupancy=2~0_2~0&amp;packaging=true" TargetMode="External"/><Relationship Id="rId4" Type="http://schemas.openxmlformats.org/officeDocument/2006/relationships/hyperlink" Target="https://booknordics.com/iceland/western-iceland/reykjavik/reykjavik-classic-whales-in-the-midnight-sun" TargetMode="External"/><Relationship Id="rId9" Type="http://schemas.openxmlformats.org/officeDocument/2006/relationships/hyperlink" Target="https://app.hotelbeds.com/factsheet/stay/749447?check_in=27-06-2026&amp;check_out=28-06-2026&amp;occupancy=2~0_2~0&amp;packaging=true" TargetMode="External"/><Relationship Id="rId14" Type="http://schemas.openxmlformats.org/officeDocument/2006/relationships/hyperlink" Target="https://www.btservice.no/private-cruiseport-transfer" TargetMode="External"/><Relationship Id="rId22" Type="http://schemas.openxmlformats.org/officeDocument/2006/relationships/hyperlink" Target="https://booking.norwegian.com/booking/flight/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btservice.no/private-cruiseport-transfer" TargetMode="External"/><Relationship Id="rId13" Type="http://schemas.openxmlformats.org/officeDocument/2006/relationships/hyperlink" Target="https://booking.norwegian.com/booking/flight/0" TargetMode="External"/><Relationship Id="rId18" Type="http://schemas.openxmlformats.org/officeDocument/2006/relationships/hyperlink" Target="https://booknordics.com/iceland/western-iceland/reykjavik/sky-lagoon-sky-pass-with-transfer" TargetMode="External"/><Relationship Id="rId26" Type="http://schemas.openxmlformats.org/officeDocument/2006/relationships/printerSettings" Target="../printerSettings/printerSettings4.bin"/><Relationship Id="rId3" Type="http://schemas.openxmlformats.org/officeDocument/2006/relationships/hyperlink" Target="https://www.fjordtours.com/en/norway/booking/tour/norway-in-a-nutshell/b1205fbc-1045-45fb-a099-1d3be8f4aa58/5c582628-ae09-482f-93bf-e41e16e39ac0" TargetMode="External"/><Relationship Id="rId21" Type="http://schemas.openxmlformats.org/officeDocument/2006/relationships/hyperlink" Target="https://www.ratehawk.com/hotel/iceland/vik_i_myrdal/mid7524341/hotel_hofdabrekka_country_hotel/?q=6130429&amp;dates=30.06.2026-02.07.2026&amp;guests=2-2&amp;price=one&amp;sid=22ec769a-b117-452f-befc-9c97bff50e0a" TargetMode="External"/><Relationship Id="rId7" Type="http://schemas.openxmlformats.org/officeDocument/2006/relationships/hyperlink" Target="https://www.floyen.no/floibanen/kjop-billetter" TargetMode="External"/><Relationship Id="rId12" Type="http://schemas.openxmlformats.org/officeDocument/2006/relationships/hyperlink" Target="https://app.hotelbeds.com/factsheet/stay/70251?check_in=07-07-2026&amp;check_out=10-07-2026&amp;occupancy=2~0_2~0&amp;packaging=true" TargetMode="External"/><Relationship Id="rId17" Type="http://schemas.openxmlformats.org/officeDocument/2006/relationships/hyperlink" Target="https://booknordics.com/iceland/western-iceland/reykjavik/flyover-iceland" TargetMode="External"/><Relationship Id="rId25" Type="http://schemas.openxmlformats.org/officeDocument/2006/relationships/hyperlink" Target="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TargetMode="External"/><Relationship Id="rId2" Type="http://schemas.openxmlformats.org/officeDocument/2006/relationships/hyperlink" Target="https://booknordics.com/norway/eastern-norway/oslo/oslofjord-sightseeing-cruise" TargetMode="External"/><Relationship Id="rId16" Type="http://schemas.openxmlformats.org/officeDocument/2006/relationships/hyperlink" Target="https://booknordics.com/iceland/southern-iceland/vik/lava-show-vik-the-original" TargetMode="External"/><Relationship Id="rId20" Type="http://schemas.openxmlformats.org/officeDocument/2006/relationships/hyperlink" Target="https://app.hotelbeds.com/factsheet/stay/90467?check_in=27-06-2026&amp;check_out=29-06-2026&amp;occupancy=2~0_2~0&amp;packaging=true" TargetMode="External"/><Relationship Id="rId1" Type="http://schemas.openxmlformats.org/officeDocument/2006/relationships/hyperlink" Target="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TargetMode="External"/><Relationship Id="rId6" Type="http://schemas.openxmlformats.org/officeDocument/2006/relationships/hyperlink" Target="https://booknordics.com/norway/western-fjord-norway/bergen-and-hardanger/mostraumen-fjord-waterfall-cruise" TargetMode="External"/><Relationship Id="rId11" Type="http://schemas.openxmlformats.org/officeDocument/2006/relationships/hyperlink" Target="https://app.hotelbeds.com/factsheet/stay/107785?check_in=10-07-2026&amp;check_out=11-07-2026&amp;occupancy=2~0_2~0&amp;packaging=true" TargetMode="External"/><Relationship Id="rId24" Type="http://schemas.openxmlformats.org/officeDocument/2006/relationships/hyperlink" Target="https://app.hotelbeds.com/factsheet/stay/90467?check_in=02-07-2026&amp;check_out=03-07-2026&amp;occupancy=2~0_2~0&amp;packaging=true" TargetMode="External"/><Relationship Id="rId5" Type="http://schemas.openxmlformats.org/officeDocument/2006/relationships/hyperlink" Target="https://www.btservice.no/private-cruiseport-transfer" TargetMode="External"/><Relationship Id="rId15" Type="http://schemas.openxmlformats.org/officeDocument/2006/relationships/hyperlink" Target="https://booknordics.com/iceland/southern-iceland/vik/katla-ice-cave-super-jeep-from-vik" TargetMode="External"/><Relationship Id="rId23" Type="http://schemas.openxmlformats.org/officeDocument/2006/relationships/hyperlink" Target="https://app.hotelbeds.com/carhire/search?baggage=4&amp;results=20&amp;sortBy=LOWEST_PRICE_FIRST&amp;field=PRICE&amp;direction=ASCENDING&amp;page=2&amp;destinationTab=Reykjav%C3%ADk&amp;pickupDate=29-06-2026&amp;pickupTime=12:00&amp;dropoffDate=03-07-2026&amp;dropoffTime=12:00&amp;sameOfficeCheckbox=false&amp;officePickupControl=1171&amp;officeDropoffControl=701&amp;typeDepartureCode=airport&amp;_timestamp=1776931327625&amp;departureTab=Keflav%C3%ADk%20International%20Airport%20(KEF)&amp;typeArrivalCode=city" TargetMode="External"/><Relationship Id="rId10" Type="http://schemas.openxmlformats.org/officeDocument/2006/relationships/hyperlink" Target="https://app.hotelbeds.com/factsheet/stay/647045?check_in=05-07-2026&amp;check_out=07-07-2026&amp;occupancy=2~0_2~0&amp;packaging=true" TargetMode="External"/><Relationship Id="rId19" Type="http://schemas.openxmlformats.org/officeDocument/2006/relationships/hyperlink" Target="https://booknordics.com/iceland/western-iceland/reykjavik/reykjavik-classic-whales-in-the-midnight-sun" TargetMode="External"/><Relationship Id="rId4" Type="http://schemas.openxmlformats.org/officeDocument/2006/relationships/hyperlink" Target="https://app.hotelbeds.com/factsheet/stay/616601?check_in=03-07-2026&amp;check_out=05-07-2026&amp;occupancy=2~0_2~0&amp;packaging=true" TargetMode="External"/><Relationship Id="rId9" Type="http://schemas.openxmlformats.org/officeDocument/2006/relationships/hyperlink" Target="https://www.wideroe.no/booking/booking" TargetMode="External"/><Relationship Id="rId14" Type="http://schemas.openxmlformats.org/officeDocument/2006/relationships/hyperlink" Target="https://www.fjordtours.com/no/norge/transport/ferge/geiranger-hellesylt" TargetMode="External"/><Relationship Id="rId22" Type="http://schemas.openxmlformats.org/officeDocument/2006/relationships/hyperlink" Target="https://app.hotelbeds.com/factsheet/stay/257043?check_in=29-06-2026&amp;check_out=30-06-2026&amp;occupancy=2~0_2~0&amp;packaging=tru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btservice.no/private-cruiseport-transfer" TargetMode="External"/><Relationship Id="rId13" Type="http://schemas.openxmlformats.org/officeDocument/2006/relationships/hyperlink" Target="https://booknordics.com/iceland/southern-iceland/vik/katla-ice-cave-super-jeep-from-vik" TargetMode="External"/><Relationship Id="rId18" Type="http://schemas.openxmlformats.org/officeDocument/2006/relationships/hyperlink" Target="https://app.hotelbeds.com/factsheet/stay/257043?check_in=29-06-2026&amp;check_out=30-06-2026&amp;occupancy=2~0_2~0&amp;packaging=true" TargetMode="External"/><Relationship Id="rId3" Type="http://schemas.openxmlformats.org/officeDocument/2006/relationships/hyperlink" Target="https://www.fjordtours.com/en/norway/booking/tour/norway-in-a-nutshell/b1205fbc-1045-45fb-a099-1d3be8f4aa58/5c582628-ae09-482f-93bf-e41e16e39ac0" TargetMode="External"/><Relationship Id="rId21" Type="http://schemas.openxmlformats.org/officeDocument/2006/relationships/hyperlink" Target="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TargetMode="External"/><Relationship Id="rId7" Type="http://schemas.openxmlformats.org/officeDocument/2006/relationships/hyperlink" Target="https://www.floyen.no/floibanen/kjop-billetter" TargetMode="External"/><Relationship Id="rId12" Type="http://schemas.openxmlformats.org/officeDocument/2006/relationships/hyperlink" Target="https://www.fjordtours.com/no/norge/transport/ferge/geiranger-hellesylt" TargetMode="External"/><Relationship Id="rId17" Type="http://schemas.openxmlformats.org/officeDocument/2006/relationships/hyperlink" Target="https://www.ratehawk.com/hotel/iceland/vik_i_myrdal/mid7524341/hotel_hofdabrekka_country_hotel/?q=6130429&amp;dates=30.06.2026-02.07.2026&amp;guests=2-2&amp;price=one&amp;sid=22ec769a-b117-452f-befc-9c97bff50e0a" TargetMode="External"/><Relationship Id="rId2" Type="http://schemas.openxmlformats.org/officeDocument/2006/relationships/hyperlink" Target="https://booknordics.com/norway/eastern-norway/oslo/oslofjord-sightseeing-cruise" TargetMode="External"/><Relationship Id="rId16" Type="http://schemas.openxmlformats.org/officeDocument/2006/relationships/hyperlink" Target="https://app.hotelbeds.com/factsheet/stay/90467?check_in=27-06-2026&amp;check_out=29-06-2026&amp;occupancy=2~0_2~0&amp;packaging=true" TargetMode="External"/><Relationship Id="rId20" Type="http://schemas.openxmlformats.org/officeDocument/2006/relationships/hyperlink" Target="https://app.hotelbeds.com/factsheet/stay/90467?check_in=02-07-2026&amp;check_out=03-07-2026&amp;occupancy=2~0_2~0&amp;packaging=true" TargetMode="External"/><Relationship Id="rId1" Type="http://schemas.openxmlformats.org/officeDocument/2006/relationships/hyperlink" Target="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TargetMode="External"/><Relationship Id="rId6" Type="http://schemas.openxmlformats.org/officeDocument/2006/relationships/hyperlink" Target="https://booknordics.com/norway/western-fjord-norway/bergen-and-hardanger/mostraumen-fjord-waterfall-cruise" TargetMode="External"/><Relationship Id="rId11" Type="http://schemas.openxmlformats.org/officeDocument/2006/relationships/hyperlink" Target="https://app.hotelbeds.com/factsheet/stay/70251?check_in=07-07-2026&amp;check_out=10-07-2026&amp;occupancy=2~0_2~0&amp;packaging=true" TargetMode="External"/><Relationship Id="rId24" Type="http://schemas.openxmlformats.org/officeDocument/2006/relationships/printerSettings" Target="../printerSettings/printerSettings5.bin"/><Relationship Id="rId5" Type="http://schemas.openxmlformats.org/officeDocument/2006/relationships/hyperlink" Target="https://www.btservice.no/private-cruiseport-transfer" TargetMode="External"/><Relationship Id="rId15" Type="http://schemas.openxmlformats.org/officeDocument/2006/relationships/hyperlink" Target="https://booknordics.com/iceland/western-iceland/reykjavik/sky-lagoon-sky-pass-with-transfer" TargetMode="External"/><Relationship Id="rId23" Type="http://schemas.openxmlformats.org/officeDocument/2006/relationships/hyperlink" Target="https://booknordics.com/iceland/southern-iceland/vik/lava-show-vik-the-original" TargetMode="External"/><Relationship Id="rId10" Type="http://schemas.openxmlformats.org/officeDocument/2006/relationships/hyperlink" Target="https://app.hotelbeds.com/factsheet/stay/647045?check_in=05-07-2026&amp;check_out=07-07-2026&amp;occupancy=2~0_2~0&amp;packaging=true" TargetMode="External"/><Relationship Id="rId19" Type="http://schemas.openxmlformats.org/officeDocument/2006/relationships/hyperlink" Target="https://app.hotelbeds.com/carhire/search?baggage=4&amp;results=20&amp;sortBy=LOWEST_PRICE_FIRST&amp;field=PRICE&amp;direction=ASCENDING&amp;page=2&amp;destinationTab=Reykjav%C3%ADk&amp;pickupDate=29-06-2026&amp;pickupTime=12:00&amp;dropoffDate=03-07-2026&amp;dropoffTime=12:00&amp;sameOfficeCheckbox=false&amp;officePickupControl=1171&amp;officeDropoffControl=701&amp;typeDepartureCode=airport&amp;_timestamp=1776931327625&amp;departureTab=Keflav%C3%ADk%20International%20Airport%20(KEF)&amp;typeArrivalCode=city" TargetMode="External"/><Relationship Id="rId4" Type="http://schemas.openxmlformats.org/officeDocument/2006/relationships/hyperlink" Target="https://app.hotelbeds.com/factsheet/stay/616601?check_in=03-07-2026&amp;check_out=05-07-2026&amp;occupancy=2~0_2~0&amp;packaging=true" TargetMode="External"/><Relationship Id="rId9" Type="http://schemas.openxmlformats.org/officeDocument/2006/relationships/hyperlink" Target="https://www.wideroe.no/booking/booking" TargetMode="External"/><Relationship Id="rId14" Type="http://schemas.openxmlformats.org/officeDocument/2006/relationships/hyperlink" Target="https://booknordics.com/iceland/western-iceland/reykjavik/flyover-iceland" TargetMode="External"/><Relationship Id="rId22" Type="http://schemas.openxmlformats.org/officeDocument/2006/relationships/hyperlink" Target="https://booknordics.com/iceland/western-iceland/reykjavik/reykjavik-classic-whales-in-the-midnight-su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wideroe.no/booking/booking" TargetMode="External"/><Relationship Id="rId13" Type="http://schemas.openxmlformats.org/officeDocument/2006/relationships/hyperlink" Target="https://booknordics.com/iceland/western-iceland/reykjavik/flyover-iceland" TargetMode="External"/><Relationship Id="rId18" Type="http://schemas.openxmlformats.org/officeDocument/2006/relationships/hyperlink" Target="https://app.hotelbeds.com/factsheet/stay/90467?check_in=02-07-2026&amp;check_out=03-07-2026&amp;occupancy=2~0_2~0&amp;packaging=true" TargetMode="External"/><Relationship Id="rId26" Type="http://schemas.openxmlformats.org/officeDocument/2006/relationships/hyperlink" Target="https://www.ratehawk.com/hotel/iceland/reykjavik/mid6528750/apotek_hotel/?q=6035025&amp;dates=26.06.2026-29.06.2026&amp;guests=2-2&amp;meal_types=breakfast.halfBoard.fullBoard.allInclusive&amp;price=one&amp;sid=3b82181b-20b6-4a76-9b45-efb43ed9ae17" TargetMode="External"/><Relationship Id="rId3" Type="http://schemas.openxmlformats.org/officeDocument/2006/relationships/hyperlink" Target="https://www.fjordtours.com/en/norway/booking/tour/norway-in-a-nutshell/b1205fbc-1045-45fb-a099-1d3be8f4aa58/5c582628-ae09-482f-93bf-e41e16e39ac0" TargetMode="External"/><Relationship Id="rId21" Type="http://schemas.openxmlformats.org/officeDocument/2006/relationships/hyperlink" Target="https://booknordics.com/iceland/southern-iceland/vik/lava-show-vik-the-original" TargetMode="External"/><Relationship Id="rId7" Type="http://schemas.openxmlformats.org/officeDocument/2006/relationships/hyperlink" Target="https://www.btservice.no/private-cruiseport-transfer" TargetMode="External"/><Relationship Id="rId12" Type="http://schemas.openxmlformats.org/officeDocument/2006/relationships/hyperlink" Target="https://booknordics.com/iceland/southern-iceland/vik/katla-ice-cave-super-jeep-from-vik" TargetMode="External"/><Relationship Id="rId17" Type="http://schemas.openxmlformats.org/officeDocument/2006/relationships/hyperlink" Target="https://app.hotelbeds.com/carhire/search?baggage=4&amp;results=20&amp;sortBy=LOWEST_PRICE_FIRST&amp;field=PRICE&amp;direction=ASCENDING&amp;page=2&amp;destinationTab=Reykjav%C3%ADk&amp;pickupDate=29-06-2026&amp;pickupTime=12:00&amp;dropoffDate=03-07-2026&amp;dropoffTime=12:00&amp;sameOfficeCheckbox=false&amp;officePickupControl=1171&amp;officeDropoffControl=701&amp;typeDepartureCode=airport&amp;_timestamp=1776931327625&amp;departureTab=Keflav%C3%ADk%20International%20Airport%20(KEF)&amp;typeArrivalCode=city" TargetMode="External"/><Relationship Id="rId25" Type="http://schemas.openxmlformats.org/officeDocument/2006/relationships/hyperlink" Target="https://www.ratehawk.com/hotel/iceland/hvolsvollur/mid7955794/skalakot_/?q=6130429&amp;dates=30.06.2026-02.07.2026&amp;guests=2-2&amp;meal_types=breakfast.halfBoard.fullBoard.allInclusive&amp;price=one&amp;sid=3b82181b-20b6-4a76-9b45-efb43ed9ae17" TargetMode="External"/><Relationship Id="rId2" Type="http://schemas.openxmlformats.org/officeDocument/2006/relationships/hyperlink" Target="https://booknordics.com/norway/eastern-norway/oslo/oslofjord-sightseeing-cruise" TargetMode="External"/><Relationship Id="rId16" Type="http://schemas.openxmlformats.org/officeDocument/2006/relationships/hyperlink" Target="https://app.hotelbeds.com/factsheet/stay/257043?check_in=29-06-2026&amp;check_out=30-06-2026&amp;occupancy=2~0_2~0&amp;packaging=true" TargetMode="External"/><Relationship Id="rId20" Type="http://schemas.openxmlformats.org/officeDocument/2006/relationships/hyperlink" Target="https://booknordics.com/iceland/western-iceland/reykjavik/reykjavik-classic-whales-in-the-midnight-sun" TargetMode="External"/><Relationship Id="rId1" Type="http://schemas.openxmlformats.org/officeDocument/2006/relationships/hyperlink" Target="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TargetMode="External"/><Relationship Id="rId6" Type="http://schemas.openxmlformats.org/officeDocument/2006/relationships/hyperlink" Target="https://www.floyen.no/floibanen/kjop-billetter" TargetMode="External"/><Relationship Id="rId11" Type="http://schemas.openxmlformats.org/officeDocument/2006/relationships/hyperlink" Target="https://www.fjordtours.com/no/norge/transport/ferge/geiranger-hellesylt" TargetMode="External"/><Relationship Id="rId24" Type="http://schemas.openxmlformats.org/officeDocument/2006/relationships/hyperlink" Target="https://www.ratehawk.com/hotel/iceland/eyvindarholar/mid8811597/umi_hotel/?q=6130429&amp;dates=30.06.2026-02.07.2026&amp;guests=2-2&amp;meal_types=breakfast.halfBoard.fullBoard.allInclusive&amp;price=one&amp;sid=3b82181b-20b6-4a76-9b45-efb43ed9ae17" TargetMode="External"/><Relationship Id="rId5" Type="http://schemas.openxmlformats.org/officeDocument/2006/relationships/hyperlink" Target="https://www.btservice.no/private-cruiseport-transfer" TargetMode="External"/><Relationship Id="rId15" Type="http://schemas.openxmlformats.org/officeDocument/2006/relationships/hyperlink" Target="https://www.ratehawk.com/hotel/iceland/vik_i_myrdal/mid7524341/hotel_hofdabrekka_country_hotel/?q=6130429&amp;dates=30.06.2026-02.07.2026&amp;guests=2-2&amp;price=one&amp;sid=22ec769a-b117-452f-befc-9c97bff50e0a" TargetMode="External"/><Relationship Id="rId23" Type="http://schemas.openxmlformats.org/officeDocument/2006/relationships/hyperlink" Target="https://www.ratehawk.com/hotel/iceland/vik/mid10880526/signature_by_vik_apartments/?q=6130429&amp;dates=30.06.2026-02.07.2026&amp;guests=2-2&amp;meal_types=breakfast.halfBoard.fullBoard.allInclusive&amp;price=one&amp;sid=3b82181b-20b6-4a76-9b45-efb43ed9ae17" TargetMode="External"/><Relationship Id="rId10" Type="http://schemas.openxmlformats.org/officeDocument/2006/relationships/hyperlink" Target="https://app.hotelbeds.com/factsheet/stay/70251?check_in=07-07-2026&amp;check_out=10-07-2026&amp;occupancy=2~0_2~0&amp;packaging=true" TargetMode="External"/><Relationship Id="rId19" Type="http://schemas.openxmlformats.org/officeDocument/2006/relationships/hyperlink" Target="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TargetMode="External"/><Relationship Id="rId4" Type="http://schemas.openxmlformats.org/officeDocument/2006/relationships/hyperlink" Target="https://app.hotelbeds.com/factsheet/stay/616601?check_in=03-07-2026&amp;check_out=05-07-2026&amp;occupancy=2~0_2~0&amp;packaging=true" TargetMode="External"/><Relationship Id="rId9" Type="http://schemas.openxmlformats.org/officeDocument/2006/relationships/hyperlink" Target="https://app.hotelbeds.com/factsheet/stay/647045?check_in=05-07-2026&amp;check_out=07-07-2026&amp;occupancy=2~0_2~0&amp;packaging=true" TargetMode="External"/><Relationship Id="rId14" Type="http://schemas.openxmlformats.org/officeDocument/2006/relationships/hyperlink" Target="https://booknordics.com/iceland/western-iceland/reykjavik/sky-lagoon-sky-pass-with-transfer" TargetMode="External"/><Relationship Id="rId22" Type="http://schemas.openxmlformats.org/officeDocument/2006/relationships/hyperlink" Target="https://booknordics.com/norway/western-fjord-norway/bergen-and-hardanger/food-and-culture-walk-city-sightseeing" TargetMode="External"/><Relationship Id="rId27"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wideroe.no/booking/booking" TargetMode="External"/><Relationship Id="rId13" Type="http://schemas.openxmlformats.org/officeDocument/2006/relationships/hyperlink" Target="https://booknordics.com/iceland/western-iceland/reykjavik/reykjavik-classic-whales-in-the-midnight-sun" TargetMode="External"/><Relationship Id="rId18" Type="http://schemas.openxmlformats.org/officeDocument/2006/relationships/hyperlink" Target="https://www.skylagoon.com/booking/rvk-skl-adm-pr/select-time/" TargetMode="External"/><Relationship Id="rId3" Type="http://schemas.openxmlformats.org/officeDocument/2006/relationships/hyperlink" Target="https://www.fjordtours.com/en/norway/booking/tour/norway-in-a-nutshell/b1205fbc-1045-45fb-a099-1d3be8f4aa58/5c582628-ae09-482f-93bf-e41e16e39ac0" TargetMode="External"/><Relationship Id="rId21" Type="http://schemas.openxmlformats.org/officeDocument/2006/relationships/printerSettings" Target="../printerSettings/printerSettings7.bin"/><Relationship Id="rId7" Type="http://schemas.openxmlformats.org/officeDocument/2006/relationships/hyperlink" Target="https://www.btservice.no/private-cruiseport-transfer" TargetMode="External"/><Relationship Id="rId12" Type="http://schemas.openxmlformats.org/officeDocument/2006/relationships/hyperlink" Target="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TargetMode="External"/><Relationship Id="rId17" Type="http://schemas.openxmlformats.org/officeDocument/2006/relationships/hyperlink" Target="https://app.hotelbeds.com/factsheet/stay/257043?check_in=29-06-2026&amp;check_out=01-07-2026&amp;occupancy=2~0_2~0&amp;packaging=true" TargetMode="External"/><Relationship Id="rId2" Type="http://schemas.openxmlformats.org/officeDocument/2006/relationships/hyperlink" Target="https://booknordics.com/norway/eastern-norway/oslo/oslofjord-sightseeing-cruise" TargetMode="External"/><Relationship Id="rId16" Type="http://schemas.openxmlformats.org/officeDocument/2006/relationships/hyperlink" Target="https://www.ratehawk.com/hotel/iceland/vik_i_myrdal/mid7524341/hotel_hofdabrekka_country_hotel/?q=6130429&amp;dates=28.06.2026-29.06.2026&amp;guests=2-2&amp;price=one&amp;room=s-4b7be616-a7ab-54cb-b360-ab272d394495&amp;serp_price=hotel_hofdabrekka_country_hotel.1024.EUR.sr-019dca54-01ba-7752-ba4c-3359ccd14445&amp;sid=3df2c763-9f7f-4b9a-81f6-f56ee01c47f2" TargetMode="External"/><Relationship Id="rId20" Type="http://schemas.openxmlformats.org/officeDocument/2006/relationships/hyperlink" Target="https://www.ratehawk.com/hotel/iceland/reykjavik/mid10212475/hotel_reykjavik_saga/?q=6035025&amp;dates=26.06.2026-28.06.2026&amp;guests=2-2&amp;meal_types=allInclusive.fullBoard.halfBoard.breakfast&amp;payment=freecancellation&amp;price=one&amp;sid=bd4ceea8-4312-4aba-9bd5-a653a409eb9f" TargetMode="External"/><Relationship Id="rId1" Type="http://schemas.openxmlformats.org/officeDocument/2006/relationships/hyperlink" Target="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TargetMode="External"/><Relationship Id="rId6" Type="http://schemas.openxmlformats.org/officeDocument/2006/relationships/hyperlink" Target="https://www.floyen.no/floibanen/kjop-billetter" TargetMode="External"/><Relationship Id="rId11" Type="http://schemas.openxmlformats.org/officeDocument/2006/relationships/hyperlink" Target="https://www.fjordtours.com/no/norge/transport/ferge/geiranger-hellesylt" TargetMode="External"/><Relationship Id="rId5" Type="http://schemas.openxmlformats.org/officeDocument/2006/relationships/hyperlink" Target="https://www.btservice.no/private-cruiseport-transfer" TargetMode="External"/><Relationship Id="rId15" Type="http://schemas.openxmlformats.org/officeDocument/2006/relationships/hyperlink" Target="https://booknordics.com/iceland/southern-iceland/vik/katla-ice-cave-super-jeep-from-vik" TargetMode="External"/><Relationship Id="rId10" Type="http://schemas.openxmlformats.org/officeDocument/2006/relationships/hyperlink" Target="https://app.hotelbeds.com/factsheet/stay/70251?check_in=07-07-2026&amp;check_out=10-07-2026&amp;occupancy=2~0_2~0&amp;packaging=true" TargetMode="External"/><Relationship Id="rId19" Type="http://schemas.openxmlformats.org/officeDocument/2006/relationships/hyperlink" Target="https://www.ratehawk.com/hotel/iceland/reykjavik/mid7350981/hotel_borg/?q=6035025&amp;dates=01.07.2026-03.07.2026&amp;guests=2-2&amp;meal_types=allInclusive.fullBoard.halfBoard.breakfast&amp;payment=freecancellation&amp;price=one&amp;sid=bd4ceea8-4312-4aba-9bd5-a653a409eb9f" TargetMode="External"/><Relationship Id="rId4" Type="http://schemas.openxmlformats.org/officeDocument/2006/relationships/hyperlink" Target="https://app.hotelbeds.com/factsheet/stay/616601?check_in=03-07-2026&amp;check_out=05-07-2026&amp;occupancy=2~0_2~0&amp;packaging=true" TargetMode="External"/><Relationship Id="rId9" Type="http://schemas.openxmlformats.org/officeDocument/2006/relationships/hyperlink" Target="https://app.hotelbeds.com/factsheet/stay/647045?check_in=05-07-2026&amp;check_out=07-07-2026&amp;occupancy=2~0_2~0&amp;packaging=true" TargetMode="External"/><Relationship Id="rId14" Type="http://schemas.openxmlformats.org/officeDocument/2006/relationships/hyperlink" Target="https://booknordics.com/norway/western-fjord-norway/bergen-and-hardanger/food-and-culture-walk-city-sightseein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floyen.no/floibanen/kjop-billetter" TargetMode="External"/><Relationship Id="rId13" Type="http://schemas.openxmlformats.org/officeDocument/2006/relationships/hyperlink" Target="https://www.fjordtours.com/no/norge/transport/ferge/geiranger-hellesylt" TargetMode="External"/><Relationship Id="rId18" Type="http://schemas.openxmlformats.org/officeDocument/2006/relationships/hyperlink" Target="https://booknordics.com/iceland/western-iceland/reykjavik/sky-lagoon-sky-pass-with-transfer" TargetMode="External"/><Relationship Id="rId26" Type="http://schemas.openxmlformats.org/officeDocument/2006/relationships/printerSettings" Target="../printerSettings/printerSettings8.bin"/><Relationship Id="rId3" Type="http://schemas.openxmlformats.org/officeDocument/2006/relationships/hyperlink" Target="https://www.ratehawk.com/hotel/iceland/hvolsvollur/mid7955794/skalakot_/?q=6130429&amp;dates=30.06.2026-02.07.2026&amp;guests=2-2&amp;meal_types=breakfast.halfBoard.fullBoard.allInclusive&amp;price=one&amp;sid=3b82181b-20b6-4a76-9b45-efb43ed9ae17" TargetMode="External"/><Relationship Id="rId21" Type="http://schemas.openxmlformats.org/officeDocument/2006/relationships/hyperlink" Target="https://app.hotelbeds.com/carhire/search?baggage=4&amp;results=20&amp;sortBy=LOWEST_PRICE_FIRST&amp;field=PRICE&amp;direction=ASCENDING&amp;page=2&amp;destinationTab=Reykjav%C3%ADk&amp;pickupDate=29-06-2026&amp;pickupTime=12:00&amp;dropoffDate=03-07-2026&amp;dropoffTime=12:00&amp;sameOfficeCheckbox=false&amp;officePickupControl=1171&amp;officeDropoffControl=701&amp;typeDepartureCode=airport&amp;_timestamp=1776931327625&amp;departureTab=Keflav%C3%ADk%20International%20Airport%20(KEF)&amp;typeArrivalCode=city" TargetMode="External"/><Relationship Id="rId7" Type="http://schemas.openxmlformats.org/officeDocument/2006/relationships/hyperlink" Target="https://www.btservice.no/private-cruiseport-transfer" TargetMode="External"/><Relationship Id="rId12" Type="http://schemas.openxmlformats.org/officeDocument/2006/relationships/hyperlink" Target="https://app.hotelbeds.com/factsheet/stay/70251?check_in=07-07-2026&amp;check_out=10-07-2026&amp;occupancy=2~0_2~0&amp;packaging=true" TargetMode="External"/><Relationship Id="rId17" Type="http://schemas.openxmlformats.org/officeDocument/2006/relationships/hyperlink" Target="https://booknordics.com/iceland/western-iceland/reykjavik/flyover-iceland" TargetMode="External"/><Relationship Id="rId25" Type="http://schemas.openxmlformats.org/officeDocument/2006/relationships/hyperlink" Target="https://www.ratehawk.com/hotel/iceland/reykjavik/mid10212475/hotel_reykjavik_saga/?q=6035025&amp;dates=26.06.2026-29.06.2026&amp;guests=2-2&amp;meal_types=breakfast.halfBoard.fullBoard.allInclusive&amp;payment=freecancellation&amp;price=one&amp;sid=f243b007-2b1d-4ac3-b6b1-95ff8c21d8da" TargetMode="External"/><Relationship Id="rId2" Type="http://schemas.openxmlformats.org/officeDocument/2006/relationships/hyperlink" Target="https://www.ratehawk.com/hotel/iceland/eyvindarholar/mid8811597/umi_hotel/?q=6130429&amp;dates=30.06.2026-02.07.2026&amp;guests=2-2&amp;meal_types=breakfast.halfBoard.fullBoard.allInclusive&amp;price=one&amp;sid=3b82181b-20b6-4a76-9b45-efb43ed9ae17" TargetMode="External"/><Relationship Id="rId16" Type="http://schemas.openxmlformats.org/officeDocument/2006/relationships/hyperlink" Target="https://booknordics.com/iceland/southern-iceland/vik/katla-ice-cave-super-jeep-from-vik" TargetMode="External"/><Relationship Id="rId20" Type="http://schemas.openxmlformats.org/officeDocument/2006/relationships/hyperlink" Target="https://app.hotelbeds.com/factsheet/stay/257043?check_in=29-06-2026&amp;check_out=30-06-2026&amp;occupancy=2~0_2~0&amp;packaging=true" TargetMode="External"/><Relationship Id="rId1" Type="http://schemas.openxmlformats.org/officeDocument/2006/relationships/hyperlink" Target="https://www.ratehawk.com/hotel/iceland/vik/mid10880526/signature_by_vik_apartments/?q=6130429&amp;dates=30.06.2026-02.07.2026&amp;guests=2-2&amp;meal_types=breakfast.halfBoard.fullBoard.allInclusive&amp;price=one&amp;sid=3b82181b-20b6-4a76-9b45-efb43ed9ae17" TargetMode="External"/><Relationship Id="rId6" Type="http://schemas.openxmlformats.org/officeDocument/2006/relationships/hyperlink" Target="https://www.fjordtours.com/en/norway/booking/tour/norway-in-a-nutshell/b1205fbc-1045-45fb-a099-1d3be8f4aa58/5c582628-ae09-482f-93bf-e41e16e39ac0" TargetMode="External"/><Relationship Id="rId11" Type="http://schemas.openxmlformats.org/officeDocument/2006/relationships/hyperlink" Target="https://app.hotelbeds.com/factsheet/stay/647045?check_in=05-07-2026&amp;check_out=07-07-2026&amp;occupancy=2~0_2~0&amp;packaging=true" TargetMode="External"/><Relationship Id="rId24" Type="http://schemas.openxmlformats.org/officeDocument/2006/relationships/hyperlink" Target="https://booknordics.com/iceland/southern-iceland/vik/lava-show-vik-the-original" TargetMode="External"/><Relationship Id="rId5" Type="http://schemas.openxmlformats.org/officeDocument/2006/relationships/hyperlink" Target="https://booknordics.com/norway/eastern-norway/oslo/oslofjord-sightseeing-cruise" TargetMode="External"/><Relationship Id="rId15" Type="http://schemas.openxmlformats.org/officeDocument/2006/relationships/hyperlink" Target="https://booknordics.com/norway/western-fjord-norway/bergen-and-hardanger/food-and-culture-walk-city-sightseeing" TargetMode="External"/><Relationship Id="rId23" Type="http://schemas.openxmlformats.org/officeDocument/2006/relationships/hyperlink" Target="https://booknordics.com/iceland/western-iceland/reykjavik/reykjavik-classic-whales-in-the-midnight-sun" TargetMode="External"/><Relationship Id="rId10" Type="http://schemas.openxmlformats.org/officeDocument/2006/relationships/hyperlink" Target="https://www.wideroe.no/booking/booking" TargetMode="External"/><Relationship Id="rId19" Type="http://schemas.openxmlformats.org/officeDocument/2006/relationships/hyperlink" Target="https://www.ratehawk.com/hotel/iceland/vik_i_myrdal/mid7524341/hotel_hofdabrekka_country_hotel/?q=6130429&amp;dates=30.06.2026-02.07.2026&amp;guests=2-2&amp;price=one&amp;sid=22ec769a-b117-452f-befc-9c97bff50e0a" TargetMode="External"/><Relationship Id="rId4" Type="http://schemas.openxmlformats.org/officeDocument/2006/relationships/hyperlink" Target="https://app.hotelbeds.com/factsheet/stay/616601?check_in=03-07-2026&amp;check_out=05-07-2026&amp;occupancy=2~0_2~0&amp;packaging=true" TargetMode="External"/><Relationship Id="rId9" Type="http://schemas.openxmlformats.org/officeDocument/2006/relationships/hyperlink" Target="https://www.btservice.no/private-cruiseport-transfer" TargetMode="External"/><Relationship Id="rId14" Type="http://schemas.openxmlformats.org/officeDocument/2006/relationships/hyperlink" Target="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TargetMode="External"/><Relationship Id="rId22" Type="http://schemas.openxmlformats.org/officeDocument/2006/relationships/hyperlink" Target="https://app.hotelbeds.com/factsheet/stay/90467?check_in=02-07-2026&amp;check_out=03-07-2026&amp;occupancy=2~0_2~0&amp;packaging=true"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04EA-7225-42CC-89DC-05C1D7355F04}">
  <dimension ref="B1:C7"/>
  <sheetViews>
    <sheetView workbookViewId="0">
      <selection activeCell="C3" sqref="C3"/>
    </sheetView>
  </sheetViews>
  <sheetFormatPr defaultRowHeight="15" x14ac:dyDescent="0.25"/>
  <cols>
    <col min="1" max="1" width="2.5703125" customWidth="1"/>
  </cols>
  <sheetData>
    <row r="1" spans="2:3" x14ac:dyDescent="0.25">
      <c r="C1" t="s">
        <v>8</v>
      </c>
    </row>
    <row r="2" spans="2:3" x14ac:dyDescent="0.25">
      <c r="B2" t="s">
        <v>10</v>
      </c>
      <c r="C2">
        <v>10.8</v>
      </c>
    </row>
    <row r="3" spans="2:3" x14ac:dyDescent="0.25">
      <c r="B3" t="s">
        <v>15</v>
      </c>
      <c r="C3">
        <v>1.02</v>
      </c>
    </row>
    <row r="4" spans="2:3" x14ac:dyDescent="0.25">
      <c r="B4" t="s">
        <v>16</v>
      </c>
      <c r="C4">
        <v>1.5</v>
      </c>
    </row>
    <row r="5" spans="2:3" x14ac:dyDescent="0.25">
      <c r="B5" t="s">
        <v>17</v>
      </c>
      <c r="C5">
        <v>7.4999999999999997E-2</v>
      </c>
    </row>
    <row r="6" spans="2:3" x14ac:dyDescent="0.25">
      <c r="B6" t="s">
        <v>8</v>
      </c>
      <c r="C6">
        <v>1</v>
      </c>
    </row>
    <row r="7" spans="2:3" x14ac:dyDescent="0.25">
      <c r="B7" t="s">
        <v>31</v>
      </c>
      <c r="C7">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E6C0-BF7F-4EA5-97F6-74A08C367EEF}">
  <sheetPr>
    <tabColor rgb="FFFFFF00"/>
  </sheetPr>
  <dimension ref="B2:AK106"/>
  <sheetViews>
    <sheetView topLeftCell="A18" zoomScale="80" zoomScaleNormal="80" workbookViewId="0">
      <selection activeCell="B2" sqref="B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212</v>
      </c>
    </row>
    <row r="3" spans="2:36" x14ac:dyDescent="0.25">
      <c r="B3" s="2" t="s">
        <v>45</v>
      </c>
    </row>
    <row r="4" spans="2:36" x14ac:dyDescent="0.25">
      <c r="B4" s="2" t="s">
        <v>46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47</v>
      </c>
      <c r="D7" s="1" t="s">
        <v>48</v>
      </c>
      <c r="E7" s="3" t="s">
        <v>77</v>
      </c>
      <c r="F7" s="3"/>
      <c r="G7" s="3"/>
      <c r="H7" s="3"/>
      <c r="J7" s="1" t="s">
        <v>52</v>
      </c>
      <c r="K7" s="4"/>
      <c r="L7" s="4"/>
      <c r="M7" s="4"/>
      <c r="N7" s="4"/>
      <c r="O7" s="4"/>
      <c r="P7" s="27"/>
      <c r="Q7" s="25">
        <v>0</v>
      </c>
      <c r="R7" s="25">
        <v>0</v>
      </c>
      <c r="S7" s="12">
        <f t="shared" ref="S7:S9" si="0">+Q7*R7</f>
        <v>0</v>
      </c>
      <c r="T7" s="5">
        <v>0</v>
      </c>
      <c r="U7" s="12">
        <f t="shared" ref="U7:U9" si="1">S7*(1-T7)</f>
        <v>0</v>
      </c>
      <c r="V7" s="25" t="s">
        <v>10</v>
      </c>
      <c r="W7" s="11">
        <f>IFERROR(VLOOKUP(V7,Curr!$B$2:$C$13,2,FALSE),0)</f>
        <v>10.8</v>
      </c>
      <c r="X7" s="12">
        <f t="shared" ref="X7:X9" si="2">U7*W7</f>
        <v>0</v>
      </c>
      <c r="Y7" s="26">
        <f t="shared" ref="Y7:Y9" si="3">Q7</f>
        <v>0</v>
      </c>
      <c r="Z7" s="12">
        <f t="shared" ref="Z7:Z9" si="4">+Y7*R7</f>
        <v>0</v>
      </c>
      <c r="AA7" s="4" t="s">
        <v>10</v>
      </c>
      <c r="AB7" s="11">
        <f>IFERROR(VLOOKUP(AA7,Curr!$B$2:$C$13,2,FALSE),0)</f>
        <v>10.8</v>
      </c>
      <c r="AC7" s="12">
        <f t="shared" ref="AC7:AC9" si="5">+Y7*AB7*R7</f>
        <v>0</v>
      </c>
      <c r="AD7" s="12">
        <f t="shared" ref="AD7:AD9" si="6">+AC7-X7</f>
        <v>0</v>
      </c>
      <c r="AE7" s="13">
        <f t="shared" ref="AE7:AE9" si="7">IFERROR(AD7/AC7,0)</f>
        <v>0</v>
      </c>
    </row>
    <row r="8" spans="2:36" x14ac:dyDescent="0.25">
      <c r="B8" s="4"/>
      <c r="C8" s="1" t="s">
        <v>47</v>
      </c>
      <c r="D8" s="1" t="s">
        <v>74</v>
      </c>
      <c r="E8" s="3" t="s">
        <v>77</v>
      </c>
      <c r="F8" s="3"/>
      <c r="G8" s="24"/>
      <c r="H8" s="24"/>
      <c r="J8" s="1" t="s">
        <v>80</v>
      </c>
      <c r="K8" s="4"/>
      <c r="L8" s="4"/>
      <c r="M8" s="4"/>
      <c r="N8" s="4"/>
      <c r="O8" s="4"/>
      <c r="P8" s="33"/>
      <c r="Q8" s="25">
        <v>0</v>
      </c>
      <c r="R8" s="25">
        <v>0</v>
      </c>
      <c r="S8" s="12">
        <f t="shared" si="0"/>
        <v>0</v>
      </c>
      <c r="T8" s="5">
        <v>0</v>
      </c>
      <c r="U8" s="12">
        <f t="shared" si="1"/>
        <v>0</v>
      </c>
      <c r="V8" s="25" t="s">
        <v>10</v>
      </c>
      <c r="W8" s="11">
        <f>IFERROR(VLOOKUP(V8,Curr!$B$2:$C$13,2,FALSE),0)</f>
        <v>10.8</v>
      </c>
      <c r="X8" s="12">
        <f t="shared" si="2"/>
        <v>0</v>
      </c>
      <c r="Y8" s="26">
        <f t="shared" si="3"/>
        <v>0</v>
      </c>
      <c r="Z8" s="12">
        <f t="shared" si="4"/>
        <v>0</v>
      </c>
      <c r="AA8" s="4" t="s">
        <v>10</v>
      </c>
      <c r="AB8" s="11">
        <f>IFERROR(VLOOKUP(AA8,Curr!$B$2:$C$13,2,FALSE),0)</f>
        <v>10.8</v>
      </c>
      <c r="AC8" s="12">
        <f t="shared" si="5"/>
        <v>0</v>
      </c>
      <c r="AD8" s="12">
        <f t="shared" si="6"/>
        <v>0</v>
      </c>
      <c r="AE8" s="13">
        <f t="shared" si="7"/>
        <v>0</v>
      </c>
    </row>
    <row r="9" spans="2:36" x14ac:dyDescent="0.25">
      <c r="B9" s="4"/>
      <c r="C9" s="1" t="s">
        <v>47</v>
      </c>
      <c r="D9" s="1" t="s">
        <v>75</v>
      </c>
      <c r="E9" s="3" t="s">
        <v>77</v>
      </c>
      <c r="F9" s="3"/>
      <c r="G9" s="24"/>
      <c r="H9" s="24"/>
      <c r="J9" s="1" t="s">
        <v>81</v>
      </c>
      <c r="K9" s="4"/>
      <c r="L9" s="4"/>
      <c r="M9" s="4"/>
      <c r="N9" s="4"/>
      <c r="O9" s="4"/>
      <c r="P9" s="33"/>
      <c r="Q9" s="25">
        <v>0</v>
      </c>
      <c r="R9" s="25">
        <v>0</v>
      </c>
      <c r="S9" s="12">
        <f t="shared" si="0"/>
        <v>0</v>
      </c>
      <c r="T9" s="5">
        <v>0</v>
      </c>
      <c r="U9" s="12">
        <f t="shared" si="1"/>
        <v>0</v>
      </c>
      <c r="V9" s="25" t="s">
        <v>10</v>
      </c>
      <c r="W9" s="11">
        <f>IFERROR(VLOOKUP(V9,Curr!$B$2:$C$13,2,FALSE),0)</f>
        <v>10.8</v>
      </c>
      <c r="X9" s="12">
        <f t="shared" si="2"/>
        <v>0</v>
      </c>
      <c r="Y9" s="26">
        <f t="shared" si="3"/>
        <v>0</v>
      </c>
      <c r="Z9" s="12">
        <f t="shared" si="4"/>
        <v>0</v>
      </c>
      <c r="AA9" s="4" t="s">
        <v>10</v>
      </c>
      <c r="AB9" s="11">
        <f>IFERROR(VLOOKUP(AA9,Curr!$B$2:$C$13,2,FALSE),0)</f>
        <v>10.8</v>
      </c>
      <c r="AC9" s="12">
        <f t="shared" si="5"/>
        <v>0</v>
      </c>
      <c r="AD9" s="12">
        <f t="shared" si="6"/>
        <v>0</v>
      </c>
      <c r="AE9" s="13">
        <f t="shared" si="7"/>
        <v>0</v>
      </c>
    </row>
    <row r="10" spans="2:36" x14ac:dyDescent="0.25">
      <c r="B10" s="4"/>
      <c r="C10" s="1" t="s">
        <v>47</v>
      </c>
      <c r="D10" s="1" t="s">
        <v>50</v>
      </c>
      <c r="E10" s="3" t="s">
        <v>77</v>
      </c>
      <c r="F10" s="3" t="s">
        <v>82</v>
      </c>
      <c r="G10" s="24"/>
      <c r="H10" s="24"/>
      <c r="J10" s="1" t="s">
        <v>84</v>
      </c>
      <c r="K10" s="4"/>
      <c r="L10" s="4"/>
      <c r="M10" s="4"/>
      <c r="N10" s="4"/>
      <c r="O10" s="4"/>
      <c r="P10" s="27"/>
      <c r="Q10" s="25">
        <v>0</v>
      </c>
      <c r="R10" s="25">
        <v>0</v>
      </c>
      <c r="S10" s="12">
        <f t="shared" ref="S10" si="8">+Q10*R10</f>
        <v>0</v>
      </c>
      <c r="T10" s="5">
        <v>0</v>
      </c>
      <c r="U10" s="12">
        <f t="shared" ref="U10" si="9">S10*(1-T10)</f>
        <v>0</v>
      </c>
      <c r="V10" s="25" t="s">
        <v>10</v>
      </c>
      <c r="W10" s="11">
        <f>IFERROR(VLOOKUP(V10,Curr!$B$2:$C$13,2,FALSE),0)</f>
        <v>10.8</v>
      </c>
      <c r="X10" s="12">
        <f t="shared" ref="X10" si="10">U10*W10</f>
        <v>0</v>
      </c>
      <c r="Y10" s="26">
        <f t="shared" ref="Y10" si="11">Q10</f>
        <v>0</v>
      </c>
      <c r="Z10" s="12">
        <f t="shared" ref="Z10" si="12">+Y10*R10</f>
        <v>0</v>
      </c>
      <c r="AA10" s="4" t="s">
        <v>10</v>
      </c>
      <c r="AB10" s="11">
        <f>IFERROR(VLOOKUP(AA10,Curr!$B$2:$C$13,2,FALSE),0)</f>
        <v>10.8</v>
      </c>
      <c r="AC10" s="12">
        <f t="shared" ref="AC10" si="13">+Y10*AB10*R10</f>
        <v>0</v>
      </c>
      <c r="AD10" s="12">
        <f t="shared" ref="AD10" si="14">+AC10-X10</f>
        <v>0</v>
      </c>
      <c r="AE10" s="13">
        <f t="shared" ref="AE10" si="15">IFERROR(AD10/AC10,0)</f>
        <v>0</v>
      </c>
    </row>
    <row r="11" spans="2:36" x14ac:dyDescent="0.25">
      <c r="B11" s="4"/>
      <c r="C11" s="1" t="s">
        <v>47</v>
      </c>
      <c r="D11" s="1" t="s">
        <v>51</v>
      </c>
      <c r="E11" s="3" t="s">
        <v>77</v>
      </c>
      <c r="F11" s="3"/>
      <c r="G11" s="24"/>
      <c r="H11" s="24"/>
      <c r="J11" s="1" t="s">
        <v>87</v>
      </c>
      <c r="K11" s="4"/>
      <c r="L11" s="4"/>
      <c r="M11" s="4"/>
      <c r="N11" s="4"/>
      <c r="O11" s="4"/>
      <c r="P11" s="33"/>
      <c r="Q11" s="25">
        <v>0</v>
      </c>
      <c r="R11" s="25">
        <v>0</v>
      </c>
      <c r="S11" s="12">
        <f t="shared" ref="S11:S81" si="16">+Q11*R11</f>
        <v>0</v>
      </c>
      <c r="T11" s="5">
        <v>0</v>
      </c>
      <c r="U11" s="12">
        <f t="shared" ref="U11:U81" si="17">S11*(1-T11)</f>
        <v>0</v>
      </c>
      <c r="V11" s="25" t="s">
        <v>10</v>
      </c>
      <c r="W11" s="11">
        <f>IFERROR(VLOOKUP(V11,Curr!$B$2:$C$13,2,FALSE),0)</f>
        <v>10.8</v>
      </c>
      <c r="X11" s="12">
        <f t="shared" ref="X11:X81" si="18">U11*W11</f>
        <v>0</v>
      </c>
      <c r="Y11" s="26">
        <f t="shared" ref="Y11:Y81" si="19">Q11</f>
        <v>0</v>
      </c>
      <c r="Z11" s="12">
        <f t="shared" ref="Z11:Z81" si="20">+Y11*R11</f>
        <v>0</v>
      </c>
      <c r="AA11" s="4" t="s">
        <v>10</v>
      </c>
      <c r="AB11" s="11">
        <f>IFERROR(VLOOKUP(AA11,Curr!$B$2:$C$13,2,FALSE),0)</f>
        <v>10.8</v>
      </c>
      <c r="AC11" s="12">
        <f t="shared" ref="AC11:AC81" si="21">+Y11*AB11*R11</f>
        <v>0</v>
      </c>
      <c r="AD11" s="12">
        <f t="shared" ref="AD11:AD81" si="22">+AC11-X11</f>
        <v>0</v>
      </c>
      <c r="AE11" s="13">
        <f t="shared" ref="AE11:AE81" si="23">IFERROR(AD11/AC11,0)</f>
        <v>0</v>
      </c>
    </row>
    <row r="12" spans="2:36" x14ac:dyDescent="0.25">
      <c r="B12" s="4"/>
      <c r="E12" s="3"/>
      <c r="F12" s="3"/>
      <c r="G12" s="24"/>
      <c r="H12" s="24"/>
      <c r="K12" s="4"/>
      <c r="L12" s="4"/>
      <c r="M12" s="4"/>
      <c r="N12" s="4"/>
      <c r="O12" s="4"/>
      <c r="P12" s="33"/>
      <c r="Q12" s="25"/>
      <c r="R12" s="25"/>
      <c r="S12" s="12">
        <f t="shared" si="16"/>
        <v>0</v>
      </c>
      <c r="T12" s="5">
        <v>0</v>
      </c>
      <c r="U12" s="12">
        <f t="shared" si="17"/>
        <v>0</v>
      </c>
      <c r="V12" s="25" t="s">
        <v>10</v>
      </c>
      <c r="W12" s="11">
        <f>IFERROR(VLOOKUP(V12,Curr!$B$2:$C$13,2,FALSE),0)</f>
        <v>10.8</v>
      </c>
      <c r="X12" s="12">
        <f t="shared" si="18"/>
        <v>0</v>
      </c>
      <c r="Y12" s="26">
        <f t="shared" si="19"/>
        <v>0</v>
      </c>
      <c r="Z12" s="12">
        <f t="shared" si="20"/>
        <v>0</v>
      </c>
      <c r="AA12" s="4" t="s">
        <v>10</v>
      </c>
      <c r="AB12" s="11">
        <f>IFERROR(VLOOKUP(AA12,Curr!$B$2:$C$13,2,FALSE),0)</f>
        <v>10.8</v>
      </c>
      <c r="AC12" s="12">
        <f t="shared" si="21"/>
        <v>0</v>
      </c>
      <c r="AD12" s="12">
        <f t="shared" si="22"/>
        <v>0</v>
      </c>
      <c r="AE12" s="13">
        <f t="shared" si="23"/>
        <v>0</v>
      </c>
    </row>
    <row r="13" spans="2:36" x14ac:dyDescent="0.25">
      <c r="B13" s="4"/>
      <c r="C13" s="1" t="s">
        <v>55</v>
      </c>
      <c r="D13" s="1" t="s">
        <v>56</v>
      </c>
      <c r="E13" s="3" t="s">
        <v>79</v>
      </c>
      <c r="F13" s="3"/>
      <c r="G13" s="24"/>
      <c r="H13" s="24"/>
      <c r="J13" s="1" t="s">
        <v>85</v>
      </c>
      <c r="K13" s="4"/>
      <c r="L13" s="4"/>
      <c r="M13" s="4"/>
      <c r="N13" s="4"/>
      <c r="O13" s="4"/>
      <c r="P13" s="33"/>
      <c r="Q13" s="25">
        <v>0</v>
      </c>
      <c r="R13" s="25">
        <v>0</v>
      </c>
      <c r="S13" s="12">
        <f t="shared" si="16"/>
        <v>0</v>
      </c>
      <c r="T13" s="5">
        <v>0</v>
      </c>
      <c r="U13" s="12">
        <f t="shared" si="17"/>
        <v>0</v>
      </c>
      <c r="V13" s="25" t="s">
        <v>10</v>
      </c>
      <c r="W13" s="11">
        <f>IFERROR(VLOOKUP(V13,Curr!$B$2:$C$13,2,FALSE),0)</f>
        <v>10.8</v>
      </c>
      <c r="X13" s="12">
        <f t="shared" si="18"/>
        <v>0</v>
      </c>
      <c r="Y13" s="26">
        <f t="shared" si="19"/>
        <v>0</v>
      </c>
      <c r="Z13" s="12">
        <f t="shared" si="20"/>
        <v>0</v>
      </c>
      <c r="AA13" s="4" t="s">
        <v>10</v>
      </c>
      <c r="AB13" s="11">
        <f>IFERROR(VLOOKUP(AA13,Curr!$B$2:$C$13,2,FALSE),0)</f>
        <v>10.8</v>
      </c>
      <c r="AC13" s="12">
        <f t="shared" si="21"/>
        <v>0</v>
      </c>
      <c r="AD13" s="12">
        <f t="shared" si="22"/>
        <v>0</v>
      </c>
      <c r="AE13" s="13">
        <f t="shared" si="23"/>
        <v>0</v>
      </c>
    </row>
    <row r="14" spans="2:36" x14ac:dyDescent="0.25">
      <c r="B14" s="4"/>
      <c r="C14" s="1" t="s">
        <v>55</v>
      </c>
      <c r="D14" s="1" t="s">
        <v>51</v>
      </c>
      <c r="E14" s="3" t="s">
        <v>79</v>
      </c>
      <c r="F14" s="3"/>
      <c r="G14" s="24"/>
      <c r="H14" s="24"/>
      <c r="J14" s="1" t="s">
        <v>87</v>
      </c>
      <c r="K14" s="4"/>
      <c r="L14" s="4"/>
      <c r="M14" s="4"/>
      <c r="N14" s="4"/>
      <c r="O14" s="4"/>
      <c r="P14" s="33"/>
      <c r="Q14" s="25">
        <v>0</v>
      </c>
      <c r="R14" s="25">
        <v>0</v>
      </c>
      <c r="S14" s="12">
        <f t="shared" ref="S14:S35" si="24">+Q14*R14</f>
        <v>0</v>
      </c>
      <c r="T14" s="5">
        <v>0</v>
      </c>
      <c r="U14" s="12">
        <f t="shared" ref="U14:U35" si="25">S14*(1-T14)</f>
        <v>0</v>
      </c>
      <c r="V14" s="25" t="s">
        <v>10</v>
      </c>
      <c r="W14" s="11">
        <f>IFERROR(VLOOKUP(V14,Curr!$B$2:$C$13,2,FALSE),0)</f>
        <v>10.8</v>
      </c>
      <c r="X14" s="12">
        <f t="shared" ref="X14:X35" si="26">U14*W14</f>
        <v>0</v>
      </c>
      <c r="Y14" s="26">
        <f t="shared" ref="Y14:Y35" si="27">Q14</f>
        <v>0</v>
      </c>
      <c r="Z14" s="12">
        <f t="shared" ref="Z14:Z35" si="28">+Y14*R14</f>
        <v>0</v>
      </c>
      <c r="AA14" s="4" t="s">
        <v>10</v>
      </c>
      <c r="AB14" s="11">
        <f>IFERROR(VLOOKUP(AA14,Curr!$B$2:$C$13,2,FALSE),0)</f>
        <v>10.8</v>
      </c>
      <c r="AC14" s="12">
        <f t="shared" ref="AC14:AC35" si="29">+Y14*AB14*R14</f>
        <v>0</v>
      </c>
      <c r="AD14" s="12">
        <f t="shared" ref="AD14:AD35" si="30">+AC14-X14</f>
        <v>0</v>
      </c>
      <c r="AE14" s="13">
        <f t="shared" ref="AE14:AE35" si="31">IFERROR(AD14/AC14,0)</f>
        <v>0</v>
      </c>
    </row>
    <row r="15" spans="2:36" x14ac:dyDescent="0.25">
      <c r="B15" s="4"/>
      <c r="C15" s="1" t="s">
        <v>55</v>
      </c>
      <c r="D15" s="1" t="s">
        <v>56</v>
      </c>
      <c r="E15" s="3" t="s">
        <v>79</v>
      </c>
      <c r="F15" s="3"/>
      <c r="G15" s="24"/>
      <c r="H15" s="24"/>
      <c r="J15" s="1" t="s">
        <v>86</v>
      </c>
      <c r="K15" s="4"/>
      <c r="L15" s="4"/>
      <c r="M15" s="4"/>
      <c r="N15" s="4"/>
      <c r="O15" s="4"/>
      <c r="P15" s="33"/>
      <c r="Q15" s="25">
        <v>0</v>
      </c>
      <c r="R15" s="25">
        <v>0</v>
      </c>
      <c r="S15" s="12">
        <f t="shared" si="24"/>
        <v>0</v>
      </c>
      <c r="T15" s="5">
        <v>0</v>
      </c>
      <c r="U15" s="12">
        <f t="shared" si="25"/>
        <v>0</v>
      </c>
      <c r="V15" s="25" t="s">
        <v>10</v>
      </c>
      <c r="W15" s="11">
        <f>IFERROR(VLOOKUP(V15,Curr!$B$2:$C$13,2,FALSE),0)</f>
        <v>10.8</v>
      </c>
      <c r="X15" s="12">
        <f t="shared" si="26"/>
        <v>0</v>
      </c>
      <c r="Y15" s="26">
        <f t="shared" si="27"/>
        <v>0</v>
      </c>
      <c r="Z15" s="12">
        <f t="shared" si="28"/>
        <v>0</v>
      </c>
      <c r="AA15" s="4" t="s">
        <v>10</v>
      </c>
      <c r="AB15" s="11">
        <f>IFERROR(VLOOKUP(AA15,Curr!$B$2:$C$13,2,FALSE),0)</f>
        <v>10.8</v>
      </c>
      <c r="AC15" s="12">
        <f t="shared" si="29"/>
        <v>0</v>
      </c>
      <c r="AD15" s="12">
        <f t="shared" si="30"/>
        <v>0</v>
      </c>
      <c r="AE15" s="13">
        <f t="shared" si="31"/>
        <v>0</v>
      </c>
    </row>
    <row r="16" spans="2:36" x14ac:dyDescent="0.25">
      <c r="B16" s="4"/>
      <c r="E16" s="3"/>
      <c r="F16" s="3"/>
      <c r="G16" s="24"/>
      <c r="H16" s="24"/>
      <c r="K16" s="4"/>
      <c r="L16" s="4"/>
      <c r="M16" s="4"/>
      <c r="N16" s="4"/>
      <c r="O16" s="4"/>
      <c r="P16" s="33"/>
      <c r="Q16" s="25"/>
      <c r="R16" s="25"/>
      <c r="S16" s="12">
        <f t="shared" si="24"/>
        <v>0</v>
      </c>
      <c r="T16" s="5">
        <v>0</v>
      </c>
      <c r="U16" s="12">
        <f t="shared" si="25"/>
        <v>0</v>
      </c>
      <c r="V16" s="25" t="s">
        <v>10</v>
      </c>
      <c r="W16" s="11">
        <f>IFERROR(VLOOKUP(V16,Curr!$B$2:$C$13,2,FALSE),0)</f>
        <v>10.8</v>
      </c>
      <c r="X16" s="12">
        <f t="shared" si="26"/>
        <v>0</v>
      </c>
      <c r="Y16" s="26">
        <f t="shared" si="27"/>
        <v>0</v>
      </c>
      <c r="Z16" s="12">
        <f t="shared" si="28"/>
        <v>0</v>
      </c>
      <c r="AA16" s="4" t="s">
        <v>10</v>
      </c>
      <c r="AB16" s="11">
        <f>IFERROR(VLOOKUP(AA16,Curr!$B$2:$C$13,2,FALSE),0)</f>
        <v>10.8</v>
      </c>
      <c r="AC16" s="12">
        <f t="shared" si="29"/>
        <v>0</v>
      </c>
      <c r="AD16" s="12">
        <f t="shared" si="30"/>
        <v>0</v>
      </c>
      <c r="AE16" s="13">
        <f t="shared" si="31"/>
        <v>0</v>
      </c>
    </row>
    <row r="17" spans="2:31" x14ac:dyDescent="0.25">
      <c r="B17" s="4"/>
      <c r="C17" s="1" t="s">
        <v>57</v>
      </c>
      <c r="D17" s="1" t="s">
        <v>75</v>
      </c>
      <c r="E17" s="3" t="s">
        <v>82</v>
      </c>
      <c r="F17" s="3"/>
      <c r="G17" s="24"/>
      <c r="H17" s="24"/>
      <c r="J17" s="1" t="s">
        <v>89</v>
      </c>
      <c r="K17" s="4"/>
      <c r="L17" s="4"/>
      <c r="M17" s="4"/>
      <c r="N17" s="4"/>
      <c r="O17" s="4"/>
      <c r="P17" s="33" t="s">
        <v>88</v>
      </c>
      <c r="Q17" s="25">
        <v>0</v>
      </c>
      <c r="R17" s="25">
        <v>0</v>
      </c>
      <c r="S17" s="12">
        <f t="shared" si="24"/>
        <v>0</v>
      </c>
      <c r="T17" s="5">
        <v>0</v>
      </c>
      <c r="U17" s="12">
        <f t="shared" si="25"/>
        <v>0</v>
      </c>
      <c r="V17" s="25" t="s">
        <v>10</v>
      </c>
      <c r="W17" s="11">
        <f>IFERROR(VLOOKUP(V17,Curr!$B$2:$C$13,2,FALSE),0)</f>
        <v>10.8</v>
      </c>
      <c r="X17" s="12">
        <f t="shared" si="26"/>
        <v>0</v>
      </c>
      <c r="Y17" s="26">
        <f t="shared" si="27"/>
        <v>0</v>
      </c>
      <c r="Z17" s="12">
        <f t="shared" si="28"/>
        <v>0</v>
      </c>
      <c r="AA17" s="4" t="s">
        <v>10</v>
      </c>
      <c r="AB17" s="11">
        <f>IFERROR(VLOOKUP(AA17,Curr!$B$2:$C$13,2,FALSE),0)</f>
        <v>10.8</v>
      </c>
      <c r="AC17" s="12">
        <f t="shared" si="29"/>
        <v>0</v>
      </c>
      <c r="AD17" s="12">
        <f t="shared" si="30"/>
        <v>0</v>
      </c>
      <c r="AE17" s="13">
        <f t="shared" si="31"/>
        <v>0</v>
      </c>
    </row>
    <row r="18" spans="2:31" x14ac:dyDescent="0.25">
      <c r="B18" s="4"/>
      <c r="C18" s="1" t="s">
        <v>57</v>
      </c>
      <c r="D18" s="1" t="s">
        <v>50</v>
      </c>
      <c r="E18" s="3" t="s">
        <v>82</v>
      </c>
      <c r="F18" s="3" t="s">
        <v>59</v>
      </c>
      <c r="G18" s="24"/>
      <c r="H18" s="24"/>
      <c r="J18" s="1" t="s">
        <v>90</v>
      </c>
      <c r="K18" s="4"/>
      <c r="L18" s="4"/>
      <c r="M18" s="4"/>
      <c r="N18" s="4"/>
      <c r="O18" s="4"/>
      <c r="P18" s="33"/>
      <c r="Q18" s="25">
        <v>0</v>
      </c>
      <c r="R18" s="25">
        <v>0</v>
      </c>
      <c r="S18" s="12">
        <f t="shared" si="24"/>
        <v>0</v>
      </c>
      <c r="T18" s="5">
        <v>0</v>
      </c>
      <c r="U18" s="12">
        <f t="shared" si="25"/>
        <v>0</v>
      </c>
      <c r="V18" s="25" t="s">
        <v>10</v>
      </c>
      <c r="W18" s="11">
        <f>IFERROR(VLOOKUP(V18,Curr!$B$2:$C$13,2,FALSE),0)</f>
        <v>10.8</v>
      </c>
      <c r="X18" s="12">
        <f t="shared" si="26"/>
        <v>0</v>
      </c>
      <c r="Y18" s="26">
        <f t="shared" si="27"/>
        <v>0</v>
      </c>
      <c r="Z18" s="12">
        <f t="shared" si="28"/>
        <v>0</v>
      </c>
      <c r="AA18" s="4" t="s">
        <v>10</v>
      </c>
      <c r="AB18" s="11">
        <f>IFERROR(VLOOKUP(AA18,Curr!$B$2:$C$13,2,FALSE),0)</f>
        <v>10.8</v>
      </c>
      <c r="AC18" s="12">
        <f t="shared" si="29"/>
        <v>0</v>
      </c>
      <c r="AD18" s="12">
        <f t="shared" si="30"/>
        <v>0</v>
      </c>
      <c r="AE18" s="13">
        <f t="shared" si="31"/>
        <v>0</v>
      </c>
    </row>
    <row r="19" spans="2:31" x14ac:dyDescent="0.25">
      <c r="B19" s="4"/>
      <c r="C19" s="1" t="s">
        <v>57</v>
      </c>
      <c r="D19" s="1" t="s">
        <v>51</v>
      </c>
      <c r="E19" s="3" t="s">
        <v>82</v>
      </c>
      <c r="F19" s="3"/>
      <c r="G19" s="24"/>
      <c r="H19" s="24"/>
      <c r="J19" s="1" t="s">
        <v>53</v>
      </c>
      <c r="K19" s="4"/>
      <c r="L19" s="4"/>
      <c r="M19" s="4"/>
      <c r="N19" s="4"/>
      <c r="O19" s="4"/>
      <c r="P19" s="33"/>
      <c r="Q19" s="25">
        <v>0</v>
      </c>
      <c r="R19" s="25">
        <v>0</v>
      </c>
      <c r="S19" s="12">
        <f t="shared" si="24"/>
        <v>0</v>
      </c>
      <c r="T19" s="5">
        <v>0</v>
      </c>
      <c r="U19" s="12">
        <f t="shared" si="25"/>
        <v>0</v>
      </c>
      <c r="V19" s="25" t="s">
        <v>10</v>
      </c>
      <c r="W19" s="11">
        <f>IFERROR(VLOOKUP(V19,Curr!$B$2:$C$13,2,FALSE),0)</f>
        <v>10.8</v>
      </c>
      <c r="X19" s="12">
        <f t="shared" si="26"/>
        <v>0</v>
      </c>
      <c r="Y19" s="26">
        <f t="shared" si="27"/>
        <v>0</v>
      </c>
      <c r="Z19" s="12">
        <f t="shared" si="28"/>
        <v>0</v>
      </c>
      <c r="AA19" s="4" t="s">
        <v>10</v>
      </c>
      <c r="AB19" s="11">
        <f>IFERROR(VLOOKUP(AA19,Curr!$B$2:$C$13,2,FALSE),0)</f>
        <v>10.8</v>
      </c>
      <c r="AC19" s="12">
        <f t="shared" si="29"/>
        <v>0</v>
      </c>
      <c r="AD19" s="12">
        <f t="shared" si="30"/>
        <v>0</v>
      </c>
      <c r="AE19" s="13">
        <f t="shared" si="31"/>
        <v>0</v>
      </c>
    </row>
    <row r="20" spans="2:31" x14ac:dyDescent="0.25">
      <c r="B20" s="4"/>
      <c r="E20" s="3"/>
      <c r="F20" s="3"/>
      <c r="G20" s="24"/>
      <c r="H20" s="24"/>
      <c r="K20" s="4"/>
      <c r="L20" s="4"/>
      <c r="M20" s="4"/>
      <c r="N20" s="4"/>
      <c r="O20" s="4"/>
      <c r="P20" s="33"/>
      <c r="Q20" s="25"/>
      <c r="R20" s="25"/>
      <c r="S20" s="12">
        <f t="shared" si="24"/>
        <v>0</v>
      </c>
      <c r="T20" s="5">
        <v>0</v>
      </c>
      <c r="U20" s="12">
        <f t="shared" si="25"/>
        <v>0</v>
      </c>
      <c r="V20" s="25" t="s">
        <v>10</v>
      </c>
      <c r="W20" s="11">
        <f>IFERROR(VLOOKUP(V20,Curr!$B$2:$C$13,2,FALSE),0)</f>
        <v>10.8</v>
      </c>
      <c r="X20" s="12">
        <f t="shared" si="26"/>
        <v>0</v>
      </c>
      <c r="Y20" s="26">
        <f t="shared" si="27"/>
        <v>0</v>
      </c>
      <c r="Z20" s="12">
        <f t="shared" si="28"/>
        <v>0</v>
      </c>
      <c r="AA20" s="4" t="s">
        <v>10</v>
      </c>
      <c r="AB20" s="11">
        <f>IFERROR(VLOOKUP(AA20,Curr!$B$2:$C$13,2,FALSE),0)</f>
        <v>10.8</v>
      </c>
      <c r="AC20" s="12">
        <f t="shared" si="29"/>
        <v>0</v>
      </c>
      <c r="AD20" s="12">
        <f t="shared" si="30"/>
        <v>0</v>
      </c>
      <c r="AE20" s="13">
        <f t="shared" si="31"/>
        <v>0</v>
      </c>
    </row>
    <row r="21" spans="2:31" x14ac:dyDescent="0.25">
      <c r="B21" s="4"/>
      <c r="C21" s="1" t="s">
        <v>60</v>
      </c>
      <c r="D21" s="1" t="s">
        <v>56</v>
      </c>
      <c r="E21" s="3" t="s">
        <v>83</v>
      </c>
      <c r="F21" s="3"/>
      <c r="G21" s="24"/>
      <c r="H21" s="24"/>
      <c r="J21" s="1" t="s">
        <v>93</v>
      </c>
      <c r="K21" s="4"/>
      <c r="L21" s="4"/>
      <c r="M21" s="4"/>
      <c r="N21" s="4"/>
      <c r="O21" s="4"/>
      <c r="P21" s="33"/>
      <c r="Q21" s="25">
        <v>0</v>
      </c>
      <c r="R21" s="25">
        <v>0</v>
      </c>
      <c r="S21" s="12">
        <f t="shared" si="24"/>
        <v>0</v>
      </c>
      <c r="T21" s="5">
        <v>0</v>
      </c>
      <c r="U21" s="12">
        <f t="shared" si="25"/>
        <v>0</v>
      </c>
      <c r="V21" s="25" t="s">
        <v>10</v>
      </c>
      <c r="W21" s="11">
        <f>IFERROR(VLOOKUP(V21,Curr!$B$2:$C$13,2,FALSE),0)</f>
        <v>10.8</v>
      </c>
      <c r="X21" s="12">
        <f t="shared" si="26"/>
        <v>0</v>
      </c>
      <c r="Y21" s="26">
        <f t="shared" si="27"/>
        <v>0</v>
      </c>
      <c r="Z21" s="12">
        <f t="shared" si="28"/>
        <v>0</v>
      </c>
      <c r="AA21" s="4" t="s">
        <v>10</v>
      </c>
      <c r="AB21" s="11">
        <f>IFERROR(VLOOKUP(AA21,Curr!$B$2:$C$13,2,FALSE),0)</f>
        <v>10.8</v>
      </c>
      <c r="AC21" s="12">
        <f t="shared" si="29"/>
        <v>0</v>
      </c>
      <c r="AD21" s="12">
        <f t="shared" si="30"/>
        <v>0</v>
      </c>
      <c r="AE21" s="13">
        <f t="shared" si="31"/>
        <v>0</v>
      </c>
    </row>
    <row r="22" spans="2:31" x14ac:dyDescent="0.25">
      <c r="B22" s="4"/>
      <c r="C22" s="1" t="s">
        <v>60</v>
      </c>
      <c r="D22" s="1" t="s">
        <v>51</v>
      </c>
      <c r="E22" s="3" t="s">
        <v>83</v>
      </c>
      <c r="F22" s="3"/>
      <c r="G22" s="24"/>
      <c r="H22" s="24"/>
      <c r="J22" s="1" t="s">
        <v>53</v>
      </c>
      <c r="K22" s="4"/>
      <c r="L22" s="4"/>
      <c r="M22" s="4"/>
      <c r="N22" s="4"/>
      <c r="O22" s="4"/>
      <c r="P22" s="33"/>
      <c r="Q22" s="25">
        <v>0</v>
      </c>
      <c r="R22" s="25">
        <v>0</v>
      </c>
      <c r="S22" s="12">
        <f t="shared" si="24"/>
        <v>0</v>
      </c>
      <c r="T22" s="5">
        <v>0</v>
      </c>
      <c r="U22" s="12">
        <f t="shared" si="25"/>
        <v>0</v>
      </c>
      <c r="V22" s="25" t="s">
        <v>10</v>
      </c>
      <c r="W22" s="11">
        <f>IFERROR(VLOOKUP(V22,Curr!$B$2:$C$13,2,FALSE),0)</f>
        <v>10.8</v>
      </c>
      <c r="X22" s="12">
        <f t="shared" si="26"/>
        <v>0</v>
      </c>
      <c r="Y22" s="26">
        <f t="shared" si="27"/>
        <v>0</v>
      </c>
      <c r="Z22" s="12">
        <f t="shared" si="28"/>
        <v>0</v>
      </c>
      <c r="AA22" s="4" t="s">
        <v>10</v>
      </c>
      <c r="AB22" s="11">
        <f>IFERROR(VLOOKUP(AA22,Curr!$B$2:$C$13,2,FALSE),0)</f>
        <v>10.8</v>
      </c>
      <c r="AC22" s="12">
        <f t="shared" si="29"/>
        <v>0</v>
      </c>
      <c r="AD22" s="12">
        <f t="shared" si="30"/>
        <v>0</v>
      </c>
      <c r="AE22" s="13">
        <f t="shared" si="31"/>
        <v>0</v>
      </c>
    </row>
    <row r="23" spans="2:31" x14ac:dyDescent="0.25">
      <c r="B23" s="4"/>
      <c r="C23" s="1" t="s">
        <v>60</v>
      </c>
      <c r="D23" s="1" t="s">
        <v>56</v>
      </c>
      <c r="E23" s="3" t="s">
        <v>83</v>
      </c>
      <c r="F23" s="3"/>
      <c r="G23" s="24"/>
      <c r="H23" s="24"/>
      <c r="J23" s="1" t="s">
        <v>94</v>
      </c>
      <c r="K23" s="4"/>
      <c r="L23" s="4"/>
      <c r="M23" s="4"/>
      <c r="N23" s="4"/>
      <c r="O23" s="4"/>
      <c r="P23" s="33"/>
      <c r="Q23" s="25">
        <v>0</v>
      </c>
      <c r="R23" s="25">
        <v>0</v>
      </c>
      <c r="S23" s="12">
        <f t="shared" si="24"/>
        <v>0</v>
      </c>
      <c r="T23" s="5">
        <v>0</v>
      </c>
      <c r="U23" s="12">
        <f t="shared" si="25"/>
        <v>0</v>
      </c>
      <c r="V23" s="25" t="s">
        <v>10</v>
      </c>
      <c r="W23" s="11">
        <f>IFERROR(VLOOKUP(V23,Curr!$B$2:$C$13,2,FALSE),0)</f>
        <v>10.8</v>
      </c>
      <c r="X23" s="12">
        <f t="shared" si="26"/>
        <v>0</v>
      </c>
      <c r="Y23" s="26">
        <f t="shared" si="27"/>
        <v>0</v>
      </c>
      <c r="Z23" s="12">
        <f t="shared" si="28"/>
        <v>0</v>
      </c>
      <c r="AA23" s="4" t="s">
        <v>10</v>
      </c>
      <c r="AB23" s="11">
        <f>IFERROR(VLOOKUP(AA23,Curr!$B$2:$C$13,2,FALSE),0)</f>
        <v>10.8</v>
      </c>
      <c r="AC23" s="12">
        <f t="shared" si="29"/>
        <v>0</v>
      </c>
      <c r="AD23" s="12">
        <f t="shared" si="30"/>
        <v>0</v>
      </c>
      <c r="AE23" s="13">
        <f t="shared" si="31"/>
        <v>0</v>
      </c>
    </row>
    <row r="24" spans="2:31" x14ac:dyDescent="0.25">
      <c r="B24" s="4"/>
      <c r="E24" s="3"/>
      <c r="F24" s="3"/>
      <c r="G24" s="24"/>
      <c r="H24" s="24"/>
      <c r="K24" s="4"/>
      <c r="L24" s="4"/>
      <c r="M24" s="4"/>
      <c r="N24" s="4"/>
      <c r="O24" s="4"/>
      <c r="P24" s="33"/>
      <c r="Q24" s="25"/>
      <c r="R24" s="25"/>
      <c r="S24" s="12">
        <f t="shared" si="24"/>
        <v>0</v>
      </c>
      <c r="T24" s="5">
        <v>0</v>
      </c>
      <c r="U24" s="12">
        <f t="shared" si="25"/>
        <v>0</v>
      </c>
      <c r="V24" s="25" t="s">
        <v>10</v>
      </c>
      <c r="W24" s="11">
        <f>IFERROR(VLOOKUP(V24,Curr!$B$2:$C$13,2,FALSE),0)</f>
        <v>10.8</v>
      </c>
      <c r="X24" s="12">
        <f t="shared" si="26"/>
        <v>0</v>
      </c>
      <c r="Y24" s="26">
        <f t="shared" si="27"/>
        <v>0</v>
      </c>
      <c r="Z24" s="12">
        <f t="shared" si="28"/>
        <v>0</v>
      </c>
      <c r="AA24" s="4" t="s">
        <v>10</v>
      </c>
      <c r="AB24" s="11">
        <f>IFERROR(VLOOKUP(AA24,Curr!$B$2:$C$13,2,FALSE),0)</f>
        <v>10.8</v>
      </c>
      <c r="AC24" s="12">
        <f t="shared" si="29"/>
        <v>0</v>
      </c>
      <c r="AD24" s="12">
        <f t="shared" si="30"/>
        <v>0</v>
      </c>
      <c r="AE24" s="13">
        <f t="shared" si="31"/>
        <v>0</v>
      </c>
    </row>
    <row r="25" spans="2:31" x14ac:dyDescent="0.25">
      <c r="B25" s="4"/>
      <c r="C25" s="1" t="s">
        <v>62</v>
      </c>
      <c r="D25" s="1" t="s">
        <v>92</v>
      </c>
      <c r="E25" s="3" t="s">
        <v>91</v>
      </c>
      <c r="F25" s="3"/>
      <c r="G25" s="24"/>
      <c r="H25" s="24"/>
      <c r="J25" s="1" t="s">
        <v>97</v>
      </c>
      <c r="K25" s="4"/>
      <c r="L25" s="4"/>
      <c r="M25" s="4"/>
      <c r="N25" s="4"/>
      <c r="O25" s="4"/>
      <c r="P25" s="33"/>
      <c r="Q25" s="25">
        <v>0</v>
      </c>
      <c r="R25" s="25">
        <v>0</v>
      </c>
      <c r="S25" s="12">
        <f t="shared" si="24"/>
        <v>0</v>
      </c>
      <c r="T25" s="5">
        <v>0</v>
      </c>
      <c r="U25" s="12">
        <f t="shared" si="25"/>
        <v>0</v>
      </c>
      <c r="V25" s="25" t="s">
        <v>10</v>
      </c>
      <c r="W25" s="11">
        <f>IFERROR(VLOOKUP(V25,Curr!$B$2:$C$13,2,FALSE),0)</f>
        <v>10.8</v>
      </c>
      <c r="X25" s="12">
        <f t="shared" si="26"/>
        <v>0</v>
      </c>
      <c r="Y25" s="26">
        <f t="shared" si="27"/>
        <v>0</v>
      </c>
      <c r="Z25" s="12">
        <f t="shared" si="28"/>
        <v>0</v>
      </c>
      <c r="AA25" s="4" t="s">
        <v>10</v>
      </c>
      <c r="AB25" s="11">
        <f>IFERROR(VLOOKUP(AA25,Curr!$B$2:$C$13,2,FALSE),0)</f>
        <v>10.8</v>
      </c>
      <c r="AC25" s="12">
        <f t="shared" si="29"/>
        <v>0</v>
      </c>
      <c r="AD25" s="12">
        <f t="shared" si="30"/>
        <v>0</v>
      </c>
      <c r="AE25" s="13">
        <f t="shared" si="31"/>
        <v>0</v>
      </c>
    </row>
    <row r="26" spans="2:31" x14ac:dyDescent="0.25">
      <c r="B26" s="4"/>
      <c r="C26" s="1" t="s">
        <v>62</v>
      </c>
      <c r="D26" s="1" t="s">
        <v>51</v>
      </c>
      <c r="E26" s="3" t="s">
        <v>91</v>
      </c>
      <c r="F26" s="3"/>
      <c r="G26" s="24"/>
      <c r="H26" s="24"/>
      <c r="J26" s="1" t="s">
        <v>53</v>
      </c>
      <c r="K26" s="4"/>
      <c r="L26" s="4"/>
      <c r="M26" s="4"/>
      <c r="N26" s="4"/>
      <c r="O26" s="4"/>
      <c r="P26" s="33"/>
      <c r="Q26" s="25">
        <v>0</v>
      </c>
      <c r="R26" s="25">
        <v>0</v>
      </c>
      <c r="S26" s="12">
        <f t="shared" si="24"/>
        <v>0</v>
      </c>
      <c r="T26" s="5">
        <v>0</v>
      </c>
      <c r="U26" s="12">
        <f t="shared" si="25"/>
        <v>0</v>
      </c>
      <c r="V26" s="25" t="s">
        <v>10</v>
      </c>
      <c r="W26" s="11">
        <f>IFERROR(VLOOKUP(V26,Curr!$B$2:$C$13,2,FALSE),0)</f>
        <v>10.8</v>
      </c>
      <c r="X26" s="12">
        <f t="shared" si="26"/>
        <v>0</v>
      </c>
      <c r="Y26" s="26">
        <f t="shared" si="27"/>
        <v>0</v>
      </c>
      <c r="Z26" s="12">
        <f t="shared" si="28"/>
        <v>0</v>
      </c>
      <c r="AA26" s="4" t="s">
        <v>10</v>
      </c>
      <c r="AB26" s="11">
        <f>IFERROR(VLOOKUP(AA26,Curr!$B$2:$C$13,2,FALSE),0)</f>
        <v>10.8</v>
      </c>
      <c r="AC26" s="12">
        <f t="shared" si="29"/>
        <v>0</v>
      </c>
      <c r="AD26" s="12">
        <f t="shared" si="30"/>
        <v>0</v>
      </c>
      <c r="AE26" s="13">
        <f t="shared" si="31"/>
        <v>0</v>
      </c>
    </row>
    <row r="27" spans="2:31" x14ac:dyDescent="0.25">
      <c r="B27" s="4"/>
      <c r="E27" s="3"/>
      <c r="F27" s="3"/>
      <c r="G27" s="24"/>
      <c r="H27" s="24"/>
      <c r="K27" s="4"/>
      <c r="L27" s="4"/>
      <c r="M27" s="4"/>
      <c r="N27" s="4"/>
      <c r="O27" s="4"/>
      <c r="P27" s="33"/>
      <c r="Q27" s="25"/>
      <c r="R27" s="25"/>
      <c r="S27" s="12">
        <f t="shared" si="24"/>
        <v>0</v>
      </c>
      <c r="T27" s="5">
        <v>0</v>
      </c>
      <c r="U27" s="12">
        <f t="shared" si="25"/>
        <v>0</v>
      </c>
      <c r="V27" s="25" t="s">
        <v>10</v>
      </c>
      <c r="W27" s="11">
        <f>IFERROR(VLOOKUP(V27,Curr!$B$2:$C$13,2,FALSE),0)</f>
        <v>10.8</v>
      </c>
      <c r="X27" s="12">
        <f t="shared" si="26"/>
        <v>0</v>
      </c>
      <c r="Y27" s="26">
        <f t="shared" si="27"/>
        <v>0</v>
      </c>
      <c r="Z27" s="12">
        <f t="shared" si="28"/>
        <v>0</v>
      </c>
      <c r="AA27" s="4" t="s">
        <v>10</v>
      </c>
      <c r="AB27" s="11">
        <f>IFERROR(VLOOKUP(AA27,Curr!$B$2:$C$13,2,FALSE),0)</f>
        <v>10.8</v>
      </c>
      <c r="AC27" s="12">
        <f t="shared" si="29"/>
        <v>0</v>
      </c>
      <c r="AD27" s="12">
        <f t="shared" si="30"/>
        <v>0</v>
      </c>
      <c r="AE27" s="13">
        <f t="shared" si="31"/>
        <v>0</v>
      </c>
    </row>
    <row r="28" spans="2:31" x14ac:dyDescent="0.25">
      <c r="B28" s="4"/>
      <c r="C28" s="1" t="s">
        <v>65</v>
      </c>
      <c r="D28" s="1" t="s">
        <v>56</v>
      </c>
      <c r="E28" s="3" t="s">
        <v>58</v>
      </c>
      <c r="F28" s="3"/>
      <c r="G28" s="24"/>
      <c r="H28" s="24"/>
      <c r="J28" s="1" t="s">
        <v>95</v>
      </c>
      <c r="K28" s="4"/>
      <c r="L28" s="4"/>
      <c r="M28" s="4"/>
      <c r="N28" s="4"/>
      <c r="O28" s="4"/>
      <c r="P28" s="33"/>
      <c r="Q28" s="25">
        <v>0</v>
      </c>
      <c r="R28" s="25">
        <v>0</v>
      </c>
      <c r="S28" s="12">
        <f t="shared" si="24"/>
        <v>0</v>
      </c>
      <c r="T28" s="5">
        <v>0</v>
      </c>
      <c r="U28" s="12">
        <f t="shared" si="25"/>
        <v>0</v>
      </c>
      <c r="V28" s="25" t="s">
        <v>10</v>
      </c>
      <c r="W28" s="11">
        <f>IFERROR(VLOOKUP(V28,Curr!$B$2:$C$13,2,FALSE),0)</f>
        <v>10.8</v>
      </c>
      <c r="X28" s="12">
        <f t="shared" si="26"/>
        <v>0</v>
      </c>
      <c r="Y28" s="26">
        <f t="shared" si="27"/>
        <v>0</v>
      </c>
      <c r="Z28" s="12">
        <f t="shared" si="28"/>
        <v>0</v>
      </c>
      <c r="AA28" s="4" t="s">
        <v>10</v>
      </c>
      <c r="AB28" s="11">
        <f>IFERROR(VLOOKUP(AA28,Curr!$B$2:$C$13,2,FALSE),0)</f>
        <v>10.8</v>
      </c>
      <c r="AC28" s="12">
        <f t="shared" si="29"/>
        <v>0</v>
      </c>
      <c r="AD28" s="12">
        <f t="shared" si="30"/>
        <v>0</v>
      </c>
      <c r="AE28" s="13">
        <f t="shared" si="31"/>
        <v>0</v>
      </c>
    </row>
    <row r="29" spans="2:31" x14ac:dyDescent="0.25">
      <c r="B29" s="4"/>
      <c r="C29" s="1" t="s">
        <v>65</v>
      </c>
      <c r="D29" s="1" t="s">
        <v>51</v>
      </c>
      <c r="E29" s="3" t="s">
        <v>58</v>
      </c>
      <c r="F29" s="3"/>
      <c r="G29" s="24"/>
      <c r="H29" s="24"/>
      <c r="J29" s="1" t="s">
        <v>53</v>
      </c>
      <c r="K29" s="4"/>
      <c r="L29" s="4"/>
      <c r="M29" s="4"/>
      <c r="N29" s="4"/>
      <c r="O29" s="4"/>
      <c r="P29" s="33"/>
      <c r="Q29" s="25">
        <v>0</v>
      </c>
      <c r="R29" s="25">
        <v>0</v>
      </c>
      <c r="S29" s="12">
        <f t="shared" si="24"/>
        <v>0</v>
      </c>
      <c r="T29" s="5">
        <v>0</v>
      </c>
      <c r="U29" s="12">
        <f t="shared" si="25"/>
        <v>0</v>
      </c>
      <c r="V29" s="25" t="s">
        <v>10</v>
      </c>
      <c r="W29" s="11">
        <f>IFERROR(VLOOKUP(V29,Curr!$B$2:$C$13,2,FALSE),0)</f>
        <v>10.8</v>
      </c>
      <c r="X29" s="12">
        <f t="shared" si="26"/>
        <v>0</v>
      </c>
      <c r="Y29" s="26">
        <f t="shared" si="27"/>
        <v>0</v>
      </c>
      <c r="Z29" s="12">
        <f t="shared" si="28"/>
        <v>0</v>
      </c>
      <c r="AA29" s="4" t="s">
        <v>10</v>
      </c>
      <c r="AB29" s="11">
        <f>IFERROR(VLOOKUP(AA29,Curr!$B$2:$C$13,2,FALSE),0)</f>
        <v>10.8</v>
      </c>
      <c r="AC29" s="12">
        <f t="shared" si="29"/>
        <v>0</v>
      </c>
      <c r="AD29" s="12">
        <f t="shared" si="30"/>
        <v>0</v>
      </c>
      <c r="AE29" s="13">
        <f t="shared" si="31"/>
        <v>0</v>
      </c>
    </row>
    <row r="30" spans="2:31" x14ac:dyDescent="0.25">
      <c r="B30" s="4"/>
      <c r="E30" s="3"/>
      <c r="F30" s="3"/>
      <c r="G30" s="24"/>
      <c r="H30" s="24"/>
      <c r="K30" s="4"/>
      <c r="L30" s="4"/>
      <c r="M30" s="4"/>
      <c r="N30" s="4"/>
      <c r="O30" s="4"/>
      <c r="P30" s="33"/>
      <c r="Q30" s="25"/>
      <c r="R30" s="25"/>
      <c r="S30" s="12">
        <f t="shared" si="24"/>
        <v>0</v>
      </c>
      <c r="T30" s="5">
        <v>0</v>
      </c>
      <c r="U30" s="12">
        <f t="shared" si="25"/>
        <v>0</v>
      </c>
      <c r="V30" s="25" t="s">
        <v>10</v>
      </c>
      <c r="W30" s="11">
        <f>IFERROR(VLOOKUP(V30,Curr!$B$2:$C$13,2,FALSE),0)</f>
        <v>10.8</v>
      </c>
      <c r="X30" s="12">
        <f t="shared" si="26"/>
        <v>0</v>
      </c>
      <c r="Y30" s="26">
        <f t="shared" si="27"/>
        <v>0</v>
      </c>
      <c r="Z30" s="12">
        <f t="shared" si="28"/>
        <v>0</v>
      </c>
      <c r="AA30" s="4" t="s">
        <v>10</v>
      </c>
      <c r="AB30" s="11">
        <f>IFERROR(VLOOKUP(AA30,Curr!$B$2:$C$13,2,FALSE),0)</f>
        <v>10.8</v>
      </c>
      <c r="AC30" s="12">
        <f t="shared" si="29"/>
        <v>0</v>
      </c>
      <c r="AD30" s="12">
        <f t="shared" si="30"/>
        <v>0</v>
      </c>
      <c r="AE30" s="13">
        <f t="shared" si="31"/>
        <v>0</v>
      </c>
    </row>
    <row r="31" spans="2:31" x14ac:dyDescent="0.25">
      <c r="B31" s="4"/>
      <c r="C31" s="1" t="s">
        <v>66</v>
      </c>
      <c r="D31" s="1" t="s">
        <v>75</v>
      </c>
      <c r="E31" s="3" t="s">
        <v>59</v>
      </c>
      <c r="F31" s="3"/>
      <c r="G31" s="24"/>
      <c r="H31" s="24"/>
      <c r="J31" s="1" t="s">
        <v>96</v>
      </c>
      <c r="K31" s="4"/>
      <c r="L31" s="4"/>
      <c r="M31" s="4"/>
      <c r="N31" s="4"/>
      <c r="O31" s="4"/>
      <c r="P31" s="33"/>
      <c r="Q31" s="25">
        <v>0</v>
      </c>
      <c r="R31" s="25">
        <v>0</v>
      </c>
      <c r="S31" s="12">
        <f t="shared" si="24"/>
        <v>0</v>
      </c>
      <c r="T31" s="5">
        <v>0</v>
      </c>
      <c r="U31" s="12">
        <f t="shared" si="25"/>
        <v>0</v>
      </c>
      <c r="V31" s="25" t="s">
        <v>10</v>
      </c>
      <c r="W31" s="11">
        <f>IFERROR(VLOOKUP(V31,Curr!$B$2:$C$13,2,FALSE),0)</f>
        <v>10.8</v>
      </c>
      <c r="X31" s="12">
        <f t="shared" si="26"/>
        <v>0</v>
      </c>
      <c r="Y31" s="26">
        <f t="shared" si="27"/>
        <v>0</v>
      </c>
      <c r="Z31" s="12">
        <f t="shared" si="28"/>
        <v>0</v>
      </c>
      <c r="AA31" s="4" t="s">
        <v>10</v>
      </c>
      <c r="AB31" s="11">
        <f>IFERROR(VLOOKUP(AA31,Curr!$B$2:$C$13,2,FALSE),0)</f>
        <v>10.8</v>
      </c>
      <c r="AC31" s="12">
        <f t="shared" si="29"/>
        <v>0</v>
      </c>
      <c r="AD31" s="12">
        <f t="shared" si="30"/>
        <v>0</v>
      </c>
      <c r="AE31" s="13">
        <f t="shared" si="31"/>
        <v>0</v>
      </c>
    </row>
    <row r="32" spans="2:31" x14ac:dyDescent="0.25">
      <c r="B32" s="4"/>
      <c r="C32" s="1" t="s">
        <v>66</v>
      </c>
      <c r="D32" s="1" t="s">
        <v>74</v>
      </c>
      <c r="E32" s="3" t="s">
        <v>59</v>
      </c>
      <c r="F32" s="3"/>
      <c r="G32" s="24"/>
      <c r="H32" s="24"/>
      <c r="J32" s="1" t="s">
        <v>98</v>
      </c>
      <c r="K32" s="4"/>
      <c r="L32" s="4"/>
      <c r="M32" s="4"/>
      <c r="N32" s="4"/>
      <c r="O32" s="4"/>
      <c r="P32" s="33"/>
      <c r="Q32" s="25">
        <v>0</v>
      </c>
      <c r="R32" s="25">
        <v>0</v>
      </c>
      <c r="S32" s="12">
        <f t="shared" si="24"/>
        <v>0</v>
      </c>
      <c r="T32" s="5">
        <v>0</v>
      </c>
      <c r="U32" s="12">
        <f t="shared" si="25"/>
        <v>0</v>
      </c>
      <c r="V32" s="25" t="s">
        <v>10</v>
      </c>
      <c r="W32" s="11">
        <f>IFERROR(VLOOKUP(V32,Curr!$B$2:$C$13,2,FALSE),0)</f>
        <v>10.8</v>
      </c>
      <c r="X32" s="12">
        <f t="shared" si="26"/>
        <v>0</v>
      </c>
      <c r="Y32" s="26">
        <f t="shared" si="27"/>
        <v>0</v>
      </c>
      <c r="Z32" s="12">
        <f t="shared" si="28"/>
        <v>0</v>
      </c>
      <c r="AA32" s="4" t="s">
        <v>10</v>
      </c>
      <c r="AB32" s="11">
        <f>IFERROR(VLOOKUP(AA32,Curr!$B$2:$C$13,2,FALSE),0)</f>
        <v>10.8</v>
      </c>
      <c r="AC32" s="12">
        <f t="shared" si="29"/>
        <v>0</v>
      </c>
      <c r="AD32" s="12">
        <f t="shared" si="30"/>
        <v>0</v>
      </c>
      <c r="AE32" s="13">
        <f t="shared" si="31"/>
        <v>0</v>
      </c>
    </row>
    <row r="33" spans="2:31" x14ac:dyDescent="0.25">
      <c r="B33" s="4"/>
      <c r="C33" s="1" t="s">
        <v>66</v>
      </c>
      <c r="D33" s="1" t="s">
        <v>76</v>
      </c>
      <c r="E33" s="3" t="s">
        <v>59</v>
      </c>
      <c r="F33" s="3"/>
      <c r="G33" s="24"/>
      <c r="H33" s="24"/>
      <c r="J33" s="1" t="s">
        <v>99</v>
      </c>
      <c r="K33" s="4"/>
      <c r="L33" s="4"/>
      <c r="M33" s="4"/>
      <c r="N33" s="4"/>
      <c r="O33" s="4"/>
      <c r="P33" s="33"/>
      <c r="Q33" s="25">
        <v>0</v>
      </c>
      <c r="R33" s="25">
        <v>0</v>
      </c>
      <c r="S33" s="12">
        <f t="shared" si="24"/>
        <v>0</v>
      </c>
      <c r="T33" s="5">
        <v>0</v>
      </c>
      <c r="U33" s="12">
        <f t="shared" si="25"/>
        <v>0</v>
      </c>
      <c r="V33" s="25" t="s">
        <v>10</v>
      </c>
      <c r="W33" s="11">
        <f>IFERROR(VLOOKUP(V33,Curr!$B$2:$C$13,2,FALSE),0)</f>
        <v>10.8</v>
      </c>
      <c r="X33" s="12">
        <f t="shared" si="26"/>
        <v>0</v>
      </c>
      <c r="Y33" s="26">
        <f t="shared" si="27"/>
        <v>0</v>
      </c>
      <c r="Z33" s="12">
        <f t="shared" si="28"/>
        <v>0</v>
      </c>
      <c r="AA33" s="4" t="s">
        <v>10</v>
      </c>
      <c r="AB33" s="11">
        <f>IFERROR(VLOOKUP(AA33,Curr!$B$2:$C$13,2,FALSE),0)</f>
        <v>10.8</v>
      </c>
      <c r="AC33" s="12">
        <f t="shared" si="29"/>
        <v>0</v>
      </c>
      <c r="AD33" s="12">
        <f t="shared" si="30"/>
        <v>0</v>
      </c>
      <c r="AE33" s="13">
        <f t="shared" si="31"/>
        <v>0</v>
      </c>
    </row>
    <row r="34" spans="2:31" x14ac:dyDescent="0.25">
      <c r="B34" s="4"/>
      <c r="C34" s="1" t="s">
        <v>66</v>
      </c>
      <c r="D34" s="1" t="s">
        <v>49</v>
      </c>
      <c r="E34" s="3" t="s">
        <v>59</v>
      </c>
      <c r="F34" s="3"/>
      <c r="G34" s="24"/>
      <c r="H34" s="24"/>
      <c r="J34" s="1" t="s">
        <v>100</v>
      </c>
      <c r="K34" s="4"/>
      <c r="L34" s="4"/>
      <c r="M34" s="4"/>
      <c r="N34" s="4"/>
      <c r="O34" s="4"/>
      <c r="P34" s="33"/>
      <c r="Q34" s="25">
        <v>0</v>
      </c>
      <c r="R34" s="25">
        <v>0</v>
      </c>
      <c r="S34" s="12">
        <f t="shared" si="24"/>
        <v>0</v>
      </c>
      <c r="T34" s="5">
        <v>0</v>
      </c>
      <c r="U34" s="12">
        <f t="shared" si="25"/>
        <v>0</v>
      </c>
      <c r="V34" s="25" t="s">
        <v>10</v>
      </c>
      <c r="W34" s="11">
        <f>IFERROR(VLOOKUP(V34,Curr!$B$2:$C$13,2,FALSE),0)</f>
        <v>10.8</v>
      </c>
      <c r="X34" s="12">
        <f t="shared" si="26"/>
        <v>0</v>
      </c>
      <c r="Y34" s="26">
        <f t="shared" si="27"/>
        <v>0</v>
      </c>
      <c r="Z34" s="12">
        <f t="shared" si="28"/>
        <v>0</v>
      </c>
      <c r="AA34" s="4" t="s">
        <v>10</v>
      </c>
      <c r="AB34" s="11">
        <f>IFERROR(VLOOKUP(AA34,Curr!$B$2:$C$13,2,FALSE),0)</f>
        <v>10.8</v>
      </c>
      <c r="AC34" s="12">
        <f t="shared" si="29"/>
        <v>0</v>
      </c>
      <c r="AD34" s="12">
        <f t="shared" si="30"/>
        <v>0</v>
      </c>
      <c r="AE34" s="13">
        <f t="shared" si="31"/>
        <v>0</v>
      </c>
    </row>
    <row r="35" spans="2:31" x14ac:dyDescent="0.25">
      <c r="B35" s="4"/>
      <c r="C35" s="1" t="s">
        <v>66</v>
      </c>
      <c r="D35" s="1" t="s">
        <v>50</v>
      </c>
      <c r="E35" s="3" t="s">
        <v>59</v>
      </c>
      <c r="F35" s="3" t="s">
        <v>63</v>
      </c>
      <c r="G35" s="24"/>
      <c r="H35" s="24"/>
      <c r="J35" s="1" t="s">
        <v>101</v>
      </c>
      <c r="K35" s="4"/>
      <c r="L35" s="4"/>
      <c r="M35" s="4"/>
      <c r="N35" s="4"/>
      <c r="O35" s="4"/>
      <c r="P35" s="33"/>
      <c r="Q35" s="25">
        <v>0</v>
      </c>
      <c r="R35" s="25">
        <v>0</v>
      </c>
      <c r="S35" s="12">
        <f t="shared" si="24"/>
        <v>0</v>
      </c>
      <c r="T35" s="5">
        <v>0</v>
      </c>
      <c r="U35" s="12">
        <f t="shared" si="25"/>
        <v>0</v>
      </c>
      <c r="V35" s="25" t="s">
        <v>10</v>
      </c>
      <c r="W35" s="11">
        <f>IFERROR(VLOOKUP(V35,Curr!$B$2:$C$13,2,FALSE),0)</f>
        <v>10.8</v>
      </c>
      <c r="X35" s="12">
        <f t="shared" si="26"/>
        <v>0</v>
      </c>
      <c r="Y35" s="26">
        <f t="shared" si="27"/>
        <v>0</v>
      </c>
      <c r="Z35" s="12">
        <f t="shared" si="28"/>
        <v>0</v>
      </c>
      <c r="AA35" s="4" t="s">
        <v>10</v>
      </c>
      <c r="AB35" s="11">
        <f>IFERROR(VLOOKUP(AA35,Curr!$B$2:$C$13,2,FALSE),0)</f>
        <v>10.8</v>
      </c>
      <c r="AC35" s="12">
        <f t="shared" si="29"/>
        <v>0</v>
      </c>
      <c r="AD35" s="12">
        <f t="shared" si="30"/>
        <v>0</v>
      </c>
      <c r="AE35" s="13">
        <f t="shared" si="31"/>
        <v>0</v>
      </c>
    </row>
    <row r="36" spans="2:31" x14ac:dyDescent="0.25">
      <c r="B36" s="4"/>
      <c r="C36" s="1" t="s">
        <v>66</v>
      </c>
      <c r="D36" s="1" t="s">
        <v>51</v>
      </c>
      <c r="E36" s="3" t="s">
        <v>59</v>
      </c>
      <c r="F36" s="3"/>
      <c r="G36" s="24"/>
      <c r="H36" s="24"/>
      <c r="J36" s="1" t="s">
        <v>102</v>
      </c>
      <c r="K36" s="4"/>
      <c r="L36" s="4"/>
      <c r="M36" s="4"/>
      <c r="N36" s="4"/>
      <c r="O36" s="4"/>
      <c r="P36" s="33"/>
      <c r="Q36" s="25">
        <v>0</v>
      </c>
      <c r="R36" s="25">
        <v>0</v>
      </c>
      <c r="S36" s="12">
        <f t="shared" si="16"/>
        <v>0</v>
      </c>
      <c r="T36" s="5">
        <v>0</v>
      </c>
      <c r="U36" s="12">
        <f t="shared" si="17"/>
        <v>0</v>
      </c>
      <c r="V36" s="25" t="s">
        <v>10</v>
      </c>
      <c r="W36" s="11">
        <f>IFERROR(VLOOKUP(V36,Curr!$B$2:$C$13,2,FALSE),0)</f>
        <v>10.8</v>
      </c>
      <c r="X36" s="12">
        <f t="shared" si="18"/>
        <v>0</v>
      </c>
      <c r="Y36" s="26">
        <f t="shared" si="19"/>
        <v>0</v>
      </c>
      <c r="Z36" s="12">
        <f t="shared" si="20"/>
        <v>0</v>
      </c>
      <c r="AA36" s="4" t="s">
        <v>10</v>
      </c>
      <c r="AB36" s="11">
        <f>IFERROR(VLOOKUP(AA36,Curr!$B$2:$C$13,2,FALSE),0)</f>
        <v>10.8</v>
      </c>
      <c r="AC36" s="12">
        <f t="shared" si="21"/>
        <v>0</v>
      </c>
      <c r="AD36" s="12">
        <f t="shared" si="22"/>
        <v>0</v>
      </c>
      <c r="AE36" s="13">
        <f t="shared" si="23"/>
        <v>0</v>
      </c>
    </row>
    <row r="37" spans="2:31" x14ac:dyDescent="0.25">
      <c r="B37" s="4"/>
      <c r="E37" s="3"/>
      <c r="F37" s="3"/>
      <c r="G37" s="24"/>
      <c r="H37" s="24"/>
      <c r="K37" s="4"/>
      <c r="L37" s="4"/>
      <c r="M37" s="4"/>
      <c r="N37" s="4"/>
      <c r="O37" s="4"/>
      <c r="P37" s="29"/>
      <c r="Q37" s="25"/>
      <c r="R37" s="25"/>
      <c r="S37" s="12">
        <f t="shared" si="16"/>
        <v>0</v>
      </c>
      <c r="T37" s="5">
        <v>0</v>
      </c>
      <c r="U37" s="12">
        <f t="shared" si="17"/>
        <v>0</v>
      </c>
      <c r="V37" s="25" t="s">
        <v>10</v>
      </c>
      <c r="W37" s="11">
        <f>IFERROR(VLOOKUP(V37,Curr!$B$2:$C$13,2,FALSE),0)</f>
        <v>10.8</v>
      </c>
      <c r="X37" s="12">
        <f t="shared" si="18"/>
        <v>0</v>
      </c>
      <c r="Y37" s="26">
        <f t="shared" si="19"/>
        <v>0</v>
      </c>
      <c r="Z37" s="12">
        <f t="shared" si="20"/>
        <v>0</v>
      </c>
      <c r="AA37" s="4" t="s">
        <v>10</v>
      </c>
      <c r="AB37" s="11">
        <f>IFERROR(VLOOKUP(AA37,Curr!$B$2:$C$13,2,FALSE),0)</f>
        <v>10.8</v>
      </c>
      <c r="AC37" s="12">
        <f t="shared" si="21"/>
        <v>0</v>
      </c>
      <c r="AD37" s="12">
        <f t="shared" si="22"/>
        <v>0</v>
      </c>
      <c r="AE37" s="13">
        <f t="shared" si="23"/>
        <v>0</v>
      </c>
    </row>
    <row r="38" spans="2:31" x14ac:dyDescent="0.25">
      <c r="B38" s="4"/>
      <c r="C38" s="1" t="s">
        <v>103</v>
      </c>
      <c r="D38" s="1" t="s">
        <v>56</v>
      </c>
      <c r="E38" s="3" t="s">
        <v>61</v>
      </c>
      <c r="F38" s="3"/>
      <c r="G38" s="24"/>
      <c r="H38" s="24"/>
      <c r="K38" s="4"/>
      <c r="L38" s="4"/>
      <c r="M38" s="4"/>
      <c r="N38" s="4"/>
      <c r="O38" s="4"/>
      <c r="P38" s="27"/>
      <c r="Q38" s="25">
        <v>0</v>
      </c>
      <c r="R38" s="25">
        <v>0</v>
      </c>
      <c r="S38" s="12">
        <f t="shared" si="16"/>
        <v>0</v>
      </c>
      <c r="T38" s="5">
        <v>0</v>
      </c>
      <c r="U38" s="12">
        <f t="shared" si="17"/>
        <v>0</v>
      </c>
      <c r="V38" s="25" t="s">
        <v>10</v>
      </c>
      <c r="W38" s="11">
        <f>IFERROR(VLOOKUP(V38,Curr!$B$2:$C$13,2,FALSE),0)</f>
        <v>10.8</v>
      </c>
      <c r="X38" s="12">
        <f t="shared" si="18"/>
        <v>0</v>
      </c>
      <c r="Y38" s="26">
        <f t="shared" si="19"/>
        <v>0</v>
      </c>
      <c r="Z38" s="12">
        <f t="shared" si="20"/>
        <v>0</v>
      </c>
      <c r="AA38" s="4" t="s">
        <v>10</v>
      </c>
      <c r="AB38" s="11">
        <f>IFERROR(VLOOKUP(AA38,Curr!$B$2:$C$13,2,FALSE),0)</f>
        <v>10.8</v>
      </c>
      <c r="AC38" s="12">
        <f t="shared" si="21"/>
        <v>0</v>
      </c>
      <c r="AD38" s="12">
        <f t="shared" si="22"/>
        <v>0</v>
      </c>
      <c r="AE38" s="13">
        <f t="shared" si="23"/>
        <v>0</v>
      </c>
    </row>
    <row r="39" spans="2:31" x14ac:dyDescent="0.25">
      <c r="B39" s="4"/>
      <c r="C39" s="1" t="s">
        <v>103</v>
      </c>
      <c r="D39" s="1" t="s">
        <v>51</v>
      </c>
      <c r="E39" s="3" t="s">
        <v>61</v>
      </c>
      <c r="F39" s="3"/>
      <c r="G39" s="24"/>
      <c r="H39" s="24"/>
      <c r="J39" s="1" t="s">
        <v>102</v>
      </c>
      <c r="K39" s="4"/>
      <c r="L39" s="4"/>
      <c r="M39" s="4"/>
      <c r="N39" s="4"/>
      <c r="O39" s="4"/>
      <c r="P39" s="33"/>
      <c r="Q39" s="25">
        <v>0</v>
      </c>
      <c r="R39" s="25">
        <v>0</v>
      </c>
      <c r="S39" s="12">
        <f t="shared" si="16"/>
        <v>0</v>
      </c>
      <c r="T39" s="5">
        <v>0</v>
      </c>
      <c r="U39" s="12">
        <f t="shared" si="17"/>
        <v>0</v>
      </c>
      <c r="V39" s="25" t="s">
        <v>10</v>
      </c>
      <c r="W39" s="11">
        <f>IFERROR(VLOOKUP(V39,Curr!$B$2:$C$13,2,FALSE),0)</f>
        <v>10.8</v>
      </c>
      <c r="X39" s="12">
        <f t="shared" si="18"/>
        <v>0</v>
      </c>
      <c r="Y39" s="26">
        <f t="shared" si="19"/>
        <v>0</v>
      </c>
      <c r="Z39" s="12">
        <f t="shared" si="20"/>
        <v>0</v>
      </c>
      <c r="AA39" s="4" t="s">
        <v>10</v>
      </c>
      <c r="AB39" s="11">
        <f>IFERROR(VLOOKUP(AA39,Curr!$B$2:$C$13,2,FALSE),0)</f>
        <v>10.8</v>
      </c>
      <c r="AC39" s="12">
        <f t="shared" si="21"/>
        <v>0</v>
      </c>
      <c r="AD39" s="12">
        <f t="shared" si="22"/>
        <v>0</v>
      </c>
      <c r="AE39" s="13">
        <f t="shared" si="23"/>
        <v>0</v>
      </c>
    </row>
    <row r="40" spans="2:31" x14ac:dyDescent="0.25">
      <c r="B40" s="4"/>
      <c r="E40" s="3"/>
      <c r="F40" s="3"/>
      <c r="G40" s="24"/>
      <c r="H40" s="24"/>
      <c r="K40" s="4"/>
      <c r="L40" s="4"/>
      <c r="M40" s="4"/>
      <c r="N40" s="4"/>
      <c r="O40" s="4"/>
      <c r="P40" s="27"/>
      <c r="Q40" s="25"/>
      <c r="R40" s="25"/>
      <c r="S40" s="12">
        <f t="shared" si="16"/>
        <v>0</v>
      </c>
      <c r="T40" s="5">
        <v>0</v>
      </c>
      <c r="U40" s="12">
        <f t="shared" si="17"/>
        <v>0</v>
      </c>
      <c r="V40" s="25" t="s">
        <v>10</v>
      </c>
      <c r="W40" s="11">
        <f>IFERROR(VLOOKUP(V40,Curr!$B$2:$C$13,2,FALSE),0)</f>
        <v>10.8</v>
      </c>
      <c r="X40" s="12">
        <f t="shared" si="18"/>
        <v>0</v>
      </c>
      <c r="Y40" s="26">
        <f t="shared" si="19"/>
        <v>0</v>
      </c>
      <c r="Z40" s="12">
        <f t="shared" si="20"/>
        <v>0</v>
      </c>
      <c r="AA40" s="4" t="s">
        <v>10</v>
      </c>
      <c r="AB40" s="11">
        <f>IFERROR(VLOOKUP(AA40,Curr!$B$2:$C$13,2,FALSE),0)</f>
        <v>10.8</v>
      </c>
      <c r="AC40" s="12">
        <f t="shared" si="21"/>
        <v>0</v>
      </c>
      <c r="AD40" s="12">
        <f t="shared" si="22"/>
        <v>0</v>
      </c>
      <c r="AE40" s="13">
        <f t="shared" si="23"/>
        <v>0</v>
      </c>
    </row>
    <row r="41" spans="2:31" x14ac:dyDescent="0.25">
      <c r="B41" s="4"/>
      <c r="C41" s="1" t="s">
        <v>104</v>
      </c>
      <c r="D41" s="1" t="s">
        <v>49</v>
      </c>
      <c r="E41" s="3" t="s">
        <v>63</v>
      </c>
      <c r="F41" s="3"/>
      <c r="G41" s="24"/>
      <c r="H41" s="24"/>
      <c r="J41" s="1" t="s">
        <v>105</v>
      </c>
      <c r="K41" s="4"/>
      <c r="L41" s="4"/>
      <c r="M41" s="4"/>
      <c r="N41" s="4"/>
      <c r="O41" s="4"/>
      <c r="P41" s="33"/>
      <c r="Q41" s="25">
        <v>0</v>
      </c>
      <c r="R41" s="25">
        <v>0</v>
      </c>
      <c r="S41" s="12">
        <f t="shared" si="16"/>
        <v>0</v>
      </c>
      <c r="T41" s="5">
        <v>0</v>
      </c>
      <c r="U41" s="12">
        <f t="shared" si="17"/>
        <v>0</v>
      </c>
      <c r="V41" s="25" t="s">
        <v>10</v>
      </c>
      <c r="W41" s="11">
        <f>IFERROR(VLOOKUP(V41,Curr!$B$2:$C$13,2,FALSE),0)</f>
        <v>10.8</v>
      </c>
      <c r="X41" s="12">
        <f t="shared" si="18"/>
        <v>0</v>
      </c>
      <c r="Y41" s="26">
        <f t="shared" si="19"/>
        <v>0</v>
      </c>
      <c r="Z41" s="12">
        <f t="shared" si="20"/>
        <v>0</v>
      </c>
      <c r="AA41" s="4" t="s">
        <v>10</v>
      </c>
      <c r="AB41" s="11">
        <f>IFERROR(VLOOKUP(AA41,Curr!$B$2:$C$13,2,FALSE),0)</f>
        <v>10.8</v>
      </c>
      <c r="AC41" s="12">
        <f t="shared" si="21"/>
        <v>0</v>
      </c>
      <c r="AD41" s="12">
        <f t="shared" si="22"/>
        <v>0</v>
      </c>
      <c r="AE41" s="13">
        <f t="shared" si="23"/>
        <v>0</v>
      </c>
    </row>
    <row r="42" spans="2:31" x14ac:dyDescent="0.25">
      <c r="B42" s="4"/>
      <c r="C42" s="1" t="s">
        <v>104</v>
      </c>
      <c r="D42" s="1" t="s">
        <v>56</v>
      </c>
      <c r="E42" s="3" t="s">
        <v>63</v>
      </c>
      <c r="F42" s="3"/>
      <c r="G42" s="24"/>
      <c r="H42" s="24"/>
      <c r="J42" s="1" t="s">
        <v>106</v>
      </c>
      <c r="K42" s="4"/>
      <c r="L42" s="4"/>
      <c r="M42" s="4"/>
      <c r="N42" s="4"/>
      <c r="O42" s="4"/>
      <c r="P42" s="33"/>
      <c r="Q42" s="25">
        <v>0</v>
      </c>
      <c r="R42" s="25">
        <v>0</v>
      </c>
      <c r="S42" s="12">
        <f t="shared" si="16"/>
        <v>0</v>
      </c>
      <c r="T42" s="5">
        <v>0</v>
      </c>
      <c r="U42" s="12">
        <f t="shared" si="17"/>
        <v>0</v>
      </c>
      <c r="V42" s="25" t="s">
        <v>10</v>
      </c>
      <c r="W42" s="11">
        <f>IFERROR(VLOOKUP(V42,Curr!$B$2:$C$13,2,FALSE),0)</f>
        <v>10.8</v>
      </c>
      <c r="X42" s="12">
        <f t="shared" si="18"/>
        <v>0</v>
      </c>
      <c r="Y42" s="26">
        <f t="shared" si="19"/>
        <v>0</v>
      </c>
      <c r="Z42" s="12">
        <f t="shared" si="20"/>
        <v>0</v>
      </c>
      <c r="AA42" s="4" t="s">
        <v>10</v>
      </c>
      <c r="AB42" s="11">
        <f>IFERROR(VLOOKUP(AA42,Curr!$B$2:$C$13,2,FALSE),0)</f>
        <v>10.8</v>
      </c>
      <c r="AC42" s="12">
        <f t="shared" si="21"/>
        <v>0</v>
      </c>
      <c r="AD42" s="12">
        <f t="shared" si="22"/>
        <v>0</v>
      </c>
      <c r="AE42" s="13">
        <f t="shared" si="23"/>
        <v>0</v>
      </c>
    </row>
    <row r="43" spans="2:31" x14ac:dyDescent="0.25">
      <c r="B43" s="4"/>
      <c r="C43" s="1" t="s">
        <v>104</v>
      </c>
      <c r="D43" s="1" t="s">
        <v>49</v>
      </c>
      <c r="E43" s="3" t="s">
        <v>63</v>
      </c>
      <c r="F43" s="3"/>
      <c r="G43" s="24"/>
      <c r="H43" s="24"/>
      <c r="J43" s="1" t="s">
        <v>115</v>
      </c>
      <c r="K43" s="4"/>
      <c r="L43" s="4"/>
      <c r="M43" s="4"/>
      <c r="N43" s="4"/>
      <c r="O43" s="4"/>
      <c r="P43" s="27"/>
      <c r="Q43" s="25">
        <v>0</v>
      </c>
      <c r="R43" s="25">
        <v>0</v>
      </c>
      <c r="S43" s="12">
        <f t="shared" si="16"/>
        <v>0</v>
      </c>
      <c r="T43" s="5">
        <v>0</v>
      </c>
      <c r="U43" s="12">
        <f t="shared" si="17"/>
        <v>0</v>
      </c>
      <c r="V43" s="25" t="s">
        <v>10</v>
      </c>
      <c r="W43" s="11">
        <f>IFERROR(VLOOKUP(V43,Curr!$B$2:$C$13,2,FALSE),0)</f>
        <v>10.8</v>
      </c>
      <c r="X43" s="12">
        <f t="shared" si="18"/>
        <v>0</v>
      </c>
      <c r="Y43" s="26">
        <f t="shared" si="19"/>
        <v>0</v>
      </c>
      <c r="Z43" s="12">
        <f t="shared" si="20"/>
        <v>0</v>
      </c>
      <c r="AA43" s="4" t="s">
        <v>10</v>
      </c>
      <c r="AB43" s="11">
        <f>IFERROR(VLOOKUP(AA43,Curr!$B$2:$C$13,2,FALSE),0)</f>
        <v>10.8</v>
      </c>
      <c r="AC43" s="12">
        <f t="shared" si="21"/>
        <v>0</v>
      </c>
      <c r="AD43" s="12">
        <f t="shared" si="22"/>
        <v>0</v>
      </c>
      <c r="AE43" s="13">
        <f t="shared" si="23"/>
        <v>0</v>
      </c>
    </row>
    <row r="44" spans="2:31" x14ac:dyDescent="0.25">
      <c r="B44" s="4"/>
      <c r="C44" s="1" t="s">
        <v>104</v>
      </c>
      <c r="D44" s="1" t="s">
        <v>50</v>
      </c>
      <c r="E44" s="3" t="s">
        <v>63</v>
      </c>
      <c r="F44" s="3" t="s">
        <v>64</v>
      </c>
      <c r="G44" s="24"/>
      <c r="H44" s="24"/>
      <c r="J44" s="1" t="s">
        <v>135</v>
      </c>
      <c r="K44" s="4"/>
      <c r="L44" s="4"/>
      <c r="M44" s="4"/>
      <c r="N44" s="4"/>
      <c r="O44" s="4"/>
      <c r="P44" s="33" t="s">
        <v>136</v>
      </c>
      <c r="Q44" s="25">
        <v>1014</v>
      </c>
      <c r="R44" s="25">
        <v>1</v>
      </c>
      <c r="S44" s="12">
        <f t="shared" si="16"/>
        <v>1014</v>
      </c>
      <c r="T44" s="5">
        <v>0</v>
      </c>
      <c r="U44" s="12">
        <f t="shared" si="17"/>
        <v>1014</v>
      </c>
      <c r="V44" s="25" t="s">
        <v>10</v>
      </c>
      <c r="W44" s="11">
        <f>IFERROR(VLOOKUP(V44,Curr!$B$2:$C$13,2,FALSE),0)</f>
        <v>10.8</v>
      </c>
      <c r="X44" s="12">
        <f t="shared" si="18"/>
        <v>10951.2</v>
      </c>
      <c r="Y44" s="26">
        <f>Q44/0.85</f>
        <v>1192.9411764705883</v>
      </c>
      <c r="Z44" s="12">
        <f t="shared" si="20"/>
        <v>1192.9411764705883</v>
      </c>
      <c r="AA44" s="4" t="s">
        <v>10</v>
      </c>
      <c r="AB44" s="11">
        <f>IFERROR(VLOOKUP(AA44,Curr!$B$2:$C$13,2,FALSE),0)</f>
        <v>10.8</v>
      </c>
      <c r="AC44" s="12">
        <f t="shared" si="21"/>
        <v>12883.764705882355</v>
      </c>
      <c r="AD44" s="12">
        <f t="shared" si="22"/>
        <v>1932.5647058823542</v>
      </c>
      <c r="AE44" s="13">
        <f t="shared" si="23"/>
        <v>0.15000000000000008</v>
      </c>
    </row>
    <row r="45" spans="2:31" x14ac:dyDescent="0.25">
      <c r="B45" s="4"/>
      <c r="C45" s="1" t="s">
        <v>104</v>
      </c>
      <c r="D45" s="1" t="s">
        <v>51</v>
      </c>
      <c r="E45" s="3" t="s">
        <v>63</v>
      </c>
      <c r="F45" s="3"/>
      <c r="G45" s="24"/>
      <c r="H45" s="24"/>
      <c r="J45" s="1" t="s">
        <v>116</v>
      </c>
      <c r="K45" s="4"/>
      <c r="L45" s="4"/>
      <c r="M45" s="4"/>
      <c r="N45" s="4"/>
      <c r="O45" s="4"/>
      <c r="P45" s="33"/>
      <c r="Q45" s="25">
        <v>0</v>
      </c>
      <c r="R45" s="25">
        <v>0</v>
      </c>
      <c r="S45" s="12">
        <f t="shared" si="16"/>
        <v>0</v>
      </c>
      <c r="T45" s="5">
        <v>0</v>
      </c>
      <c r="U45" s="12">
        <f t="shared" si="17"/>
        <v>0</v>
      </c>
      <c r="V45" s="25" t="s">
        <v>10</v>
      </c>
      <c r="W45" s="11">
        <f>IFERROR(VLOOKUP(V45,Curr!$B$2:$C$13,2,FALSE),0)</f>
        <v>10.8</v>
      </c>
      <c r="X45" s="12">
        <f t="shared" si="18"/>
        <v>0</v>
      </c>
      <c r="Y45" s="26">
        <f t="shared" si="19"/>
        <v>0</v>
      </c>
      <c r="Z45" s="12">
        <f t="shared" si="20"/>
        <v>0</v>
      </c>
      <c r="AA45" s="4" t="s">
        <v>10</v>
      </c>
      <c r="AB45" s="11">
        <f>IFERROR(VLOOKUP(AA45,Curr!$B$2:$C$13,2,FALSE),0)</f>
        <v>10.8</v>
      </c>
      <c r="AC45" s="12">
        <f t="shared" si="21"/>
        <v>0</v>
      </c>
      <c r="AD45" s="12">
        <f t="shared" si="22"/>
        <v>0</v>
      </c>
      <c r="AE45" s="13">
        <f t="shared" si="23"/>
        <v>0</v>
      </c>
    </row>
    <row r="46" spans="2:31" x14ac:dyDescent="0.25">
      <c r="B46" s="4"/>
      <c r="E46" s="3"/>
      <c r="F46" s="3"/>
      <c r="G46" s="24"/>
      <c r="H46" s="24"/>
      <c r="K46" s="4"/>
      <c r="L46" s="4"/>
      <c r="M46" s="4"/>
      <c r="N46" s="4"/>
      <c r="O46" s="4"/>
      <c r="P46" s="33"/>
      <c r="Q46" s="25"/>
      <c r="R46" s="25"/>
      <c r="S46" s="12">
        <f t="shared" si="16"/>
        <v>0</v>
      </c>
      <c r="T46" s="5">
        <v>0</v>
      </c>
      <c r="U46" s="12">
        <f t="shared" si="17"/>
        <v>0</v>
      </c>
      <c r="V46" s="25" t="s">
        <v>10</v>
      </c>
      <c r="W46" s="11">
        <f>IFERROR(VLOOKUP(V46,Curr!$B$2:$C$13,2,FALSE),0)</f>
        <v>10.8</v>
      </c>
      <c r="X46" s="12">
        <f t="shared" si="18"/>
        <v>0</v>
      </c>
      <c r="Y46" s="26">
        <f t="shared" si="19"/>
        <v>0</v>
      </c>
      <c r="Z46" s="12">
        <f t="shared" si="20"/>
        <v>0</v>
      </c>
      <c r="AA46" s="4" t="s">
        <v>10</v>
      </c>
      <c r="AB46" s="11">
        <f>IFERROR(VLOOKUP(AA46,Curr!$B$2:$C$13,2,FALSE),0)</f>
        <v>10.8</v>
      </c>
      <c r="AC46" s="12">
        <f t="shared" si="21"/>
        <v>0</v>
      </c>
      <c r="AD46" s="12">
        <f t="shared" si="22"/>
        <v>0</v>
      </c>
      <c r="AE46" s="13">
        <f t="shared" si="23"/>
        <v>0</v>
      </c>
    </row>
    <row r="47" spans="2:31" x14ac:dyDescent="0.25">
      <c r="B47" s="4"/>
      <c r="C47" s="1" t="s">
        <v>107</v>
      </c>
      <c r="D47" s="1" t="s">
        <v>49</v>
      </c>
      <c r="E47" s="3" t="s">
        <v>64</v>
      </c>
      <c r="F47" s="1"/>
      <c r="G47" s="1"/>
      <c r="H47" s="1"/>
      <c r="J47" s="1" t="s">
        <v>123</v>
      </c>
      <c r="K47" s="4"/>
      <c r="L47" s="4"/>
      <c r="M47" s="4"/>
      <c r="N47" s="4"/>
      <c r="O47" s="4"/>
      <c r="P47" s="33"/>
      <c r="Q47" s="25">
        <v>0</v>
      </c>
      <c r="R47" s="25">
        <v>0</v>
      </c>
      <c r="S47" s="12">
        <f t="shared" si="16"/>
        <v>0</v>
      </c>
      <c r="T47" s="5">
        <v>0</v>
      </c>
      <c r="U47" s="12">
        <f t="shared" si="17"/>
        <v>0</v>
      </c>
      <c r="V47" s="25" t="s">
        <v>10</v>
      </c>
      <c r="W47" s="11">
        <f>IFERROR(VLOOKUP(V47,Curr!$B$2:$C$13,2,FALSE),0)</f>
        <v>10.8</v>
      </c>
      <c r="X47" s="12">
        <f t="shared" si="18"/>
        <v>0</v>
      </c>
      <c r="Y47" s="26">
        <f t="shared" si="19"/>
        <v>0</v>
      </c>
      <c r="Z47" s="12">
        <f t="shared" si="20"/>
        <v>0</v>
      </c>
      <c r="AA47" s="4" t="s">
        <v>10</v>
      </c>
      <c r="AB47" s="11">
        <f>IFERROR(VLOOKUP(AA47,Curr!$B$2:$C$13,2,FALSE),0)</f>
        <v>10.8</v>
      </c>
      <c r="AC47" s="12">
        <f t="shared" si="21"/>
        <v>0</v>
      </c>
      <c r="AD47" s="12">
        <f t="shared" si="22"/>
        <v>0</v>
      </c>
      <c r="AE47" s="13">
        <f t="shared" si="23"/>
        <v>0</v>
      </c>
    </row>
    <row r="48" spans="2:31" x14ac:dyDescent="0.25">
      <c r="B48" s="4"/>
      <c r="C48" s="1" t="s">
        <v>107</v>
      </c>
      <c r="D48" s="1" t="s">
        <v>56</v>
      </c>
      <c r="E48" s="3" t="s">
        <v>64</v>
      </c>
      <c r="F48" s="1"/>
      <c r="G48" s="1"/>
      <c r="H48" s="1"/>
      <c r="J48" s="1" t="s">
        <v>124</v>
      </c>
      <c r="K48" s="4"/>
      <c r="L48" s="4"/>
      <c r="M48" s="4"/>
      <c r="N48" s="4"/>
      <c r="O48" s="4"/>
      <c r="P48" s="27"/>
      <c r="Q48" s="25">
        <v>0</v>
      </c>
      <c r="R48" s="25">
        <v>0</v>
      </c>
      <c r="S48" s="12">
        <f t="shared" si="16"/>
        <v>0</v>
      </c>
      <c r="T48" s="5">
        <v>0</v>
      </c>
      <c r="U48" s="12">
        <f t="shared" si="17"/>
        <v>0</v>
      </c>
      <c r="V48" s="25" t="s">
        <v>10</v>
      </c>
      <c r="W48" s="11">
        <f>IFERROR(VLOOKUP(V48,Curr!$B$2:$C$13,2,FALSE),0)</f>
        <v>10.8</v>
      </c>
      <c r="X48" s="12">
        <f t="shared" si="18"/>
        <v>0</v>
      </c>
      <c r="Y48" s="26">
        <f t="shared" si="19"/>
        <v>0</v>
      </c>
      <c r="Z48" s="12">
        <f t="shared" si="20"/>
        <v>0</v>
      </c>
      <c r="AA48" s="4" t="s">
        <v>10</v>
      </c>
      <c r="AB48" s="11">
        <f>IFERROR(VLOOKUP(AA48,Curr!$B$2:$C$13,2,FALSE),0)</f>
        <v>10.8</v>
      </c>
      <c r="AC48" s="12">
        <f t="shared" si="21"/>
        <v>0</v>
      </c>
      <c r="AD48" s="12">
        <f t="shared" si="22"/>
        <v>0</v>
      </c>
      <c r="AE48" s="13">
        <f t="shared" si="23"/>
        <v>0</v>
      </c>
    </row>
    <row r="49" spans="2:31" x14ac:dyDescent="0.25">
      <c r="B49" s="4"/>
      <c r="C49" s="1" t="s">
        <v>107</v>
      </c>
      <c r="D49" s="1" t="s">
        <v>49</v>
      </c>
      <c r="E49" s="3" t="s">
        <v>64</v>
      </c>
      <c r="F49" s="1"/>
      <c r="G49" s="1"/>
      <c r="H49" s="1"/>
      <c r="J49" s="1" t="s">
        <v>108</v>
      </c>
      <c r="K49" s="4"/>
      <c r="L49" s="4"/>
      <c r="M49" s="4"/>
      <c r="N49" s="4"/>
      <c r="O49" s="4"/>
      <c r="P49" s="33"/>
      <c r="Q49" s="25">
        <v>0</v>
      </c>
      <c r="R49" s="25">
        <v>0</v>
      </c>
      <c r="S49" s="12">
        <f t="shared" si="16"/>
        <v>0</v>
      </c>
      <c r="T49" s="5">
        <v>0</v>
      </c>
      <c r="U49" s="12">
        <f t="shared" si="17"/>
        <v>0</v>
      </c>
      <c r="V49" s="25" t="s">
        <v>10</v>
      </c>
      <c r="W49" s="11">
        <f>IFERROR(VLOOKUP(V49,Curr!$B$2:$C$13,2,FALSE),0)</f>
        <v>10.8</v>
      </c>
      <c r="X49" s="12">
        <f t="shared" si="18"/>
        <v>0</v>
      </c>
      <c r="Y49" s="26">
        <f t="shared" si="19"/>
        <v>0</v>
      </c>
      <c r="Z49" s="12">
        <f t="shared" si="20"/>
        <v>0</v>
      </c>
      <c r="AA49" s="4" t="s">
        <v>10</v>
      </c>
      <c r="AB49" s="11">
        <f>IFERROR(VLOOKUP(AA49,Curr!$B$2:$C$13,2,FALSE),0)</f>
        <v>10.8</v>
      </c>
      <c r="AC49" s="12">
        <f t="shared" si="21"/>
        <v>0</v>
      </c>
      <c r="AD49" s="12">
        <f t="shared" si="22"/>
        <v>0</v>
      </c>
      <c r="AE49" s="13">
        <f t="shared" si="23"/>
        <v>0</v>
      </c>
    </row>
    <row r="50" spans="2:31" x14ac:dyDescent="0.25">
      <c r="B50" s="4"/>
      <c r="C50" s="1" t="s">
        <v>107</v>
      </c>
      <c r="D50" s="1" t="s">
        <v>50</v>
      </c>
      <c r="E50" s="3" t="s">
        <v>64</v>
      </c>
      <c r="F50" s="3" t="s">
        <v>54</v>
      </c>
      <c r="G50" s="1"/>
      <c r="H50" s="1"/>
      <c r="J50" s="1" t="s">
        <v>125</v>
      </c>
      <c r="K50" s="4"/>
      <c r="L50" s="4"/>
      <c r="M50" s="4"/>
      <c r="N50" s="4"/>
      <c r="O50" s="4"/>
      <c r="P50" s="29"/>
      <c r="Q50" s="25">
        <v>0</v>
      </c>
      <c r="R50" s="25">
        <v>0</v>
      </c>
      <c r="S50" s="12">
        <f t="shared" si="16"/>
        <v>0</v>
      </c>
      <c r="T50" s="5">
        <v>0</v>
      </c>
      <c r="U50" s="12">
        <f t="shared" si="17"/>
        <v>0</v>
      </c>
      <c r="V50" s="25" t="s">
        <v>10</v>
      </c>
      <c r="W50" s="11">
        <f>IFERROR(VLOOKUP(V50,Curr!$B$2:$C$13,2,FALSE),0)</f>
        <v>10.8</v>
      </c>
      <c r="X50" s="12">
        <f t="shared" si="18"/>
        <v>0</v>
      </c>
      <c r="Y50" s="26">
        <f t="shared" si="19"/>
        <v>0</v>
      </c>
      <c r="Z50" s="12">
        <f t="shared" si="20"/>
        <v>0</v>
      </c>
      <c r="AA50" s="4" t="s">
        <v>10</v>
      </c>
      <c r="AB50" s="11">
        <f>IFERROR(VLOOKUP(AA50,Curr!$B$2:$C$13,2,FALSE),0)</f>
        <v>10.8</v>
      </c>
      <c r="AC50" s="12">
        <f t="shared" si="21"/>
        <v>0</v>
      </c>
      <c r="AD50" s="12">
        <f t="shared" si="22"/>
        <v>0</v>
      </c>
      <c r="AE50" s="13">
        <f t="shared" si="23"/>
        <v>0</v>
      </c>
    </row>
    <row r="51" spans="2:31" x14ac:dyDescent="0.25">
      <c r="B51" s="4"/>
      <c r="C51" s="1" t="s">
        <v>107</v>
      </c>
      <c r="D51" s="1" t="s">
        <v>51</v>
      </c>
      <c r="E51" s="3" t="s">
        <v>64</v>
      </c>
      <c r="F51" s="1"/>
      <c r="G51" s="1"/>
      <c r="H51" s="1"/>
      <c r="K51" s="4"/>
      <c r="L51" s="4"/>
      <c r="M51" s="4"/>
      <c r="N51" s="4"/>
      <c r="O51" s="4"/>
      <c r="P51" s="33"/>
      <c r="Q51" s="25">
        <v>0</v>
      </c>
      <c r="R51" s="25">
        <v>0</v>
      </c>
      <c r="S51" s="12">
        <f t="shared" si="16"/>
        <v>0</v>
      </c>
      <c r="T51" s="5">
        <v>0</v>
      </c>
      <c r="U51" s="12">
        <f t="shared" si="17"/>
        <v>0</v>
      </c>
      <c r="V51" s="25" t="s">
        <v>10</v>
      </c>
      <c r="W51" s="11">
        <f>IFERROR(VLOOKUP(V51,Curr!$B$2:$C$13,2,FALSE),0)</f>
        <v>10.8</v>
      </c>
      <c r="X51" s="12">
        <f t="shared" si="18"/>
        <v>0</v>
      </c>
      <c r="Y51" s="26">
        <f t="shared" si="19"/>
        <v>0</v>
      </c>
      <c r="Z51" s="12">
        <f t="shared" si="20"/>
        <v>0</v>
      </c>
      <c r="AA51" s="4" t="s">
        <v>10</v>
      </c>
      <c r="AB51" s="11">
        <f>IFERROR(VLOOKUP(AA51,Curr!$B$2:$C$13,2,FALSE),0)</f>
        <v>10.8</v>
      </c>
      <c r="AC51" s="12">
        <f t="shared" si="21"/>
        <v>0</v>
      </c>
      <c r="AD51" s="12">
        <f t="shared" si="22"/>
        <v>0</v>
      </c>
      <c r="AE51" s="13">
        <f t="shared" si="23"/>
        <v>0</v>
      </c>
    </row>
    <row r="52" spans="2:31" x14ac:dyDescent="0.25">
      <c r="B52" s="4"/>
      <c r="E52" s="1"/>
      <c r="F52" s="1"/>
      <c r="G52" s="1"/>
      <c r="H52" s="1"/>
      <c r="K52" s="4"/>
      <c r="L52" s="4"/>
      <c r="M52" s="4"/>
      <c r="N52" s="4"/>
      <c r="O52" s="4"/>
      <c r="P52" s="33"/>
      <c r="Q52" s="25"/>
      <c r="R52" s="25"/>
      <c r="S52" s="12">
        <f t="shared" ref="S52:S60" si="32">+Q52*R52</f>
        <v>0</v>
      </c>
      <c r="T52" s="5">
        <v>0</v>
      </c>
      <c r="U52" s="12">
        <f t="shared" ref="U52:U60" si="33">S52*(1-T52)</f>
        <v>0</v>
      </c>
      <c r="V52" s="25" t="s">
        <v>10</v>
      </c>
      <c r="W52" s="11">
        <f>IFERROR(VLOOKUP(V52,Curr!$B$2:$C$13,2,FALSE),0)</f>
        <v>10.8</v>
      </c>
      <c r="X52" s="12">
        <f t="shared" ref="X52:X60" si="34">U52*W52</f>
        <v>0</v>
      </c>
      <c r="Y52" s="26">
        <f t="shared" ref="Y52:Y60" si="35">Q52</f>
        <v>0</v>
      </c>
      <c r="Z52" s="12">
        <f t="shared" ref="Z52:Z60" si="36">+Y52*R52</f>
        <v>0</v>
      </c>
      <c r="AA52" s="4" t="s">
        <v>10</v>
      </c>
      <c r="AB52" s="11">
        <f>IFERROR(VLOOKUP(AA52,Curr!$B$2:$C$13,2,FALSE),0)</f>
        <v>10.8</v>
      </c>
      <c r="AC52" s="12">
        <f t="shared" ref="AC52:AC60" si="37">+Y52*AB52*R52</f>
        <v>0</v>
      </c>
      <c r="AD52" s="12">
        <f t="shared" ref="AD52:AD60" si="38">+AC52-X52</f>
        <v>0</v>
      </c>
      <c r="AE52" s="13">
        <f t="shared" ref="AE52:AE60" si="39">IFERROR(AD52/AC52,0)</f>
        <v>0</v>
      </c>
    </row>
    <row r="53" spans="2:31" x14ac:dyDescent="0.25">
      <c r="B53" s="4"/>
      <c r="C53" s="1" t="s">
        <v>112</v>
      </c>
      <c r="D53" s="1" t="s">
        <v>56</v>
      </c>
      <c r="E53" s="3" t="s">
        <v>68</v>
      </c>
      <c r="F53" s="3"/>
      <c r="G53" s="24"/>
      <c r="H53" s="24"/>
      <c r="J53" s="1" t="s">
        <v>111</v>
      </c>
      <c r="K53" s="4"/>
      <c r="L53" s="4"/>
      <c r="M53" s="4"/>
      <c r="N53" s="4"/>
      <c r="O53" s="4"/>
      <c r="P53" s="33"/>
      <c r="Q53" s="25">
        <v>0</v>
      </c>
      <c r="R53" s="25">
        <v>0</v>
      </c>
      <c r="S53" s="12">
        <f t="shared" si="32"/>
        <v>0</v>
      </c>
      <c r="T53" s="5">
        <v>0</v>
      </c>
      <c r="U53" s="12">
        <f t="shared" si="33"/>
        <v>0</v>
      </c>
      <c r="V53" s="25" t="s">
        <v>10</v>
      </c>
      <c r="W53" s="11">
        <f>IFERROR(VLOOKUP(V53,Curr!$B$2:$C$13,2,FALSE),0)</f>
        <v>10.8</v>
      </c>
      <c r="X53" s="12">
        <f t="shared" si="34"/>
        <v>0</v>
      </c>
      <c r="Y53" s="26">
        <f t="shared" si="35"/>
        <v>0</v>
      </c>
      <c r="Z53" s="12">
        <f t="shared" si="36"/>
        <v>0</v>
      </c>
      <c r="AA53" s="4" t="s">
        <v>10</v>
      </c>
      <c r="AB53" s="11">
        <f>IFERROR(VLOOKUP(AA53,Curr!$B$2:$C$13,2,FALSE),0)</f>
        <v>10.8</v>
      </c>
      <c r="AC53" s="12">
        <f t="shared" si="37"/>
        <v>0</v>
      </c>
      <c r="AD53" s="12">
        <f t="shared" si="38"/>
        <v>0</v>
      </c>
      <c r="AE53" s="13">
        <f t="shared" si="39"/>
        <v>0</v>
      </c>
    </row>
    <row r="54" spans="2:31" x14ac:dyDescent="0.25">
      <c r="B54" s="4"/>
      <c r="C54" s="1" t="s">
        <v>112</v>
      </c>
      <c r="D54" s="1" t="s">
        <v>51</v>
      </c>
      <c r="E54" s="3" t="s">
        <v>68</v>
      </c>
      <c r="F54" s="3"/>
      <c r="G54" s="24"/>
      <c r="H54" s="24"/>
      <c r="J54" s="1" t="s">
        <v>109</v>
      </c>
      <c r="K54" s="4"/>
      <c r="L54" s="4"/>
      <c r="M54" s="4"/>
      <c r="N54" s="4"/>
      <c r="O54" s="4"/>
      <c r="P54" s="33"/>
      <c r="Q54" s="25">
        <v>0</v>
      </c>
      <c r="R54" s="25">
        <v>0</v>
      </c>
      <c r="S54" s="12">
        <f t="shared" si="32"/>
        <v>0</v>
      </c>
      <c r="T54" s="5">
        <v>0</v>
      </c>
      <c r="U54" s="12">
        <f t="shared" si="33"/>
        <v>0</v>
      </c>
      <c r="V54" s="25" t="s">
        <v>10</v>
      </c>
      <c r="W54" s="11">
        <f>IFERROR(VLOOKUP(V54,Curr!$B$2:$C$13,2,FALSE),0)</f>
        <v>10.8</v>
      </c>
      <c r="X54" s="12">
        <f t="shared" si="34"/>
        <v>0</v>
      </c>
      <c r="Y54" s="26">
        <f t="shared" si="35"/>
        <v>0</v>
      </c>
      <c r="Z54" s="12">
        <f t="shared" si="36"/>
        <v>0</v>
      </c>
      <c r="AA54" s="4" t="s">
        <v>10</v>
      </c>
      <c r="AB54" s="11">
        <f>IFERROR(VLOOKUP(AA54,Curr!$B$2:$C$13,2,FALSE),0)</f>
        <v>10.8</v>
      </c>
      <c r="AC54" s="12">
        <f t="shared" si="37"/>
        <v>0</v>
      </c>
      <c r="AD54" s="12">
        <f t="shared" si="38"/>
        <v>0</v>
      </c>
      <c r="AE54" s="13">
        <f t="shared" si="39"/>
        <v>0</v>
      </c>
    </row>
    <row r="55" spans="2:31" x14ac:dyDescent="0.25">
      <c r="B55" s="4"/>
      <c r="C55" s="1" t="s">
        <v>112</v>
      </c>
      <c r="D55" s="1" t="s">
        <v>56</v>
      </c>
      <c r="E55" s="3" t="s">
        <v>68</v>
      </c>
      <c r="F55" s="3"/>
      <c r="G55" s="24"/>
      <c r="H55" s="24"/>
      <c r="J55" s="1" t="s">
        <v>110</v>
      </c>
      <c r="K55" s="4"/>
      <c r="L55" s="4"/>
      <c r="M55" s="4"/>
      <c r="N55" s="4"/>
      <c r="O55" s="4"/>
      <c r="P55" s="33"/>
      <c r="Q55" s="25"/>
      <c r="R55" s="25"/>
      <c r="S55" s="12">
        <f t="shared" si="32"/>
        <v>0</v>
      </c>
      <c r="T55" s="5">
        <v>0</v>
      </c>
      <c r="U55" s="12">
        <f t="shared" si="33"/>
        <v>0</v>
      </c>
      <c r="V55" s="25" t="s">
        <v>10</v>
      </c>
      <c r="W55" s="11">
        <f>IFERROR(VLOOKUP(V55,Curr!$B$2:$C$13,2,FALSE),0)</f>
        <v>10.8</v>
      </c>
      <c r="X55" s="12">
        <f t="shared" si="34"/>
        <v>0</v>
      </c>
      <c r="Y55" s="26">
        <f t="shared" si="35"/>
        <v>0</v>
      </c>
      <c r="Z55" s="12">
        <f t="shared" si="36"/>
        <v>0</v>
      </c>
      <c r="AA55" s="4" t="s">
        <v>10</v>
      </c>
      <c r="AB55" s="11">
        <f>IFERROR(VLOOKUP(AA55,Curr!$B$2:$C$13,2,FALSE),0)</f>
        <v>10.8</v>
      </c>
      <c r="AC55" s="12">
        <f t="shared" si="37"/>
        <v>0</v>
      </c>
      <c r="AD55" s="12">
        <f t="shared" si="38"/>
        <v>0</v>
      </c>
      <c r="AE55" s="13">
        <f t="shared" si="39"/>
        <v>0</v>
      </c>
    </row>
    <row r="56" spans="2:31" x14ac:dyDescent="0.25">
      <c r="B56" s="4"/>
      <c r="E56" s="3"/>
      <c r="F56" s="3"/>
      <c r="G56" s="24"/>
      <c r="H56" s="24"/>
      <c r="K56" s="4"/>
      <c r="L56" s="4"/>
      <c r="M56" s="4"/>
      <c r="N56" s="4"/>
      <c r="O56" s="4"/>
      <c r="P56" s="33"/>
      <c r="Q56" s="25">
        <v>0</v>
      </c>
      <c r="R56" s="25">
        <v>0</v>
      </c>
      <c r="S56" s="12">
        <f t="shared" si="32"/>
        <v>0</v>
      </c>
      <c r="T56" s="5">
        <v>0</v>
      </c>
      <c r="U56" s="12">
        <f t="shared" si="33"/>
        <v>0</v>
      </c>
      <c r="V56" s="25" t="s">
        <v>10</v>
      </c>
      <c r="W56" s="11">
        <f>IFERROR(VLOOKUP(V56,Curr!$B$2:$C$13,2,FALSE),0)</f>
        <v>10.8</v>
      </c>
      <c r="X56" s="12">
        <f t="shared" si="34"/>
        <v>0</v>
      </c>
      <c r="Y56" s="26">
        <f t="shared" si="35"/>
        <v>0</v>
      </c>
      <c r="Z56" s="12">
        <f t="shared" si="36"/>
        <v>0</v>
      </c>
      <c r="AA56" s="4" t="s">
        <v>10</v>
      </c>
      <c r="AB56" s="11">
        <f>IFERROR(VLOOKUP(AA56,Curr!$B$2:$C$13,2,FALSE),0)</f>
        <v>10.8</v>
      </c>
      <c r="AC56" s="12">
        <f t="shared" si="37"/>
        <v>0</v>
      </c>
      <c r="AD56" s="12">
        <f t="shared" si="38"/>
        <v>0</v>
      </c>
      <c r="AE56" s="13">
        <f t="shared" si="39"/>
        <v>0</v>
      </c>
    </row>
    <row r="57" spans="2:31" x14ac:dyDescent="0.25">
      <c r="B57" s="4"/>
      <c r="C57" s="1" t="s">
        <v>113</v>
      </c>
      <c r="D57" s="1" t="s">
        <v>49</v>
      </c>
      <c r="E57" s="3" t="s">
        <v>54</v>
      </c>
      <c r="F57" s="3"/>
      <c r="G57" s="24"/>
      <c r="H57" s="24"/>
      <c r="J57" s="1" t="s">
        <v>134</v>
      </c>
      <c r="K57" s="4"/>
      <c r="L57" s="4"/>
      <c r="M57" s="4"/>
      <c r="N57" s="4"/>
      <c r="O57" s="4"/>
      <c r="P57" s="33"/>
      <c r="Q57" s="25">
        <v>0</v>
      </c>
      <c r="R57" s="25">
        <v>0</v>
      </c>
      <c r="S57" s="12">
        <f t="shared" si="32"/>
        <v>0</v>
      </c>
      <c r="T57" s="5">
        <v>0</v>
      </c>
      <c r="U57" s="12">
        <f t="shared" si="33"/>
        <v>0</v>
      </c>
      <c r="V57" s="25" t="s">
        <v>10</v>
      </c>
      <c r="W57" s="11">
        <f>IFERROR(VLOOKUP(V57,Curr!$B$2:$C$13,2,FALSE),0)</f>
        <v>10.8</v>
      </c>
      <c r="X57" s="12">
        <f t="shared" si="34"/>
        <v>0</v>
      </c>
      <c r="Y57" s="26">
        <f t="shared" si="35"/>
        <v>0</v>
      </c>
      <c r="Z57" s="12">
        <f t="shared" si="36"/>
        <v>0</v>
      </c>
      <c r="AA57" s="4" t="s">
        <v>10</v>
      </c>
      <c r="AB57" s="11">
        <f>IFERROR(VLOOKUP(AA57,Curr!$B$2:$C$13,2,FALSE),0)</f>
        <v>10.8</v>
      </c>
      <c r="AC57" s="12">
        <f t="shared" si="37"/>
        <v>0</v>
      </c>
      <c r="AD57" s="12">
        <f t="shared" si="38"/>
        <v>0</v>
      </c>
      <c r="AE57" s="13">
        <f t="shared" si="39"/>
        <v>0</v>
      </c>
    </row>
    <row r="58" spans="2:31" x14ac:dyDescent="0.25">
      <c r="B58" s="4"/>
      <c r="C58" s="1" t="s">
        <v>113</v>
      </c>
      <c r="D58" s="1" t="s">
        <v>76</v>
      </c>
      <c r="E58" s="3" t="s">
        <v>54</v>
      </c>
      <c r="F58" s="3"/>
      <c r="G58" s="24"/>
      <c r="H58" s="24"/>
      <c r="J58" s="1" t="s">
        <v>133</v>
      </c>
      <c r="K58" s="4"/>
      <c r="L58" s="4"/>
      <c r="M58" s="4"/>
      <c r="N58" s="4"/>
      <c r="O58" s="4"/>
      <c r="P58" s="33"/>
      <c r="Q58" s="25"/>
      <c r="R58" s="25"/>
      <c r="S58" s="12">
        <f t="shared" si="32"/>
        <v>0</v>
      </c>
      <c r="T58" s="5">
        <v>0</v>
      </c>
      <c r="U58" s="12">
        <f t="shared" si="33"/>
        <v>0</v>
      </c>
      <c r="V58" s="25" t="s">
        <v>10</v>
      </c>
      <c r="W58" s="11">
        <f>IFERROR(VLOOKUP(V58,Curr!$B$2:$C$13,2,FALSE),0)</f>
        <v>10.8</v>
      </c>
      <c r="X58" s="12">
        <f t="shared" si="34"/>
        <v>0</v>
      </c>
      <c r="Y58" s="26">
        <f t="shared" si="35"/>
        <v>0</v>
      </c>
      <c r="Z58" s="12">
        <f t="shared" si="36"/>
        <v>0</v>
      </c>
      <c r="AA58" s="4" t="s">
        <v>10</v>
      </c>
      <c r="AB58" s="11">
        <f>IFERROR(VLOOKUP(AA58,Curr!$B$2:$C$13,2,FALSE),0)</f>
        <v>10.8</v>
      </c>
      <c r="AC58" s="12">
        <f t="shared" si="37"/>
        <v>0</v>
      </c>
      <c r="AD58" s="12">
        <f t="shared" si="38"/>
        <v>0</v>
      </c>
      <c r="AE58" s="13">
        <f t="shared" si="39"/>
        <v>0</v>
      </c>
    </row>
    <row r="59" spans="2:31" x14ac:dyDescent="0.25">
      <c r="B59" s="4"/>
      <c r="C59" s="1" t="s">
        <v>113</v>
      </c>
      <c r="D59" s="1" t="s">
        <v>49</v>
      </c>
      <c r="E59" s="3" t="s">
        <v>54</v>
      </c>
      <c r="F59" s="3"/>
      <c r="G59" s="24"/>
      <c r="H59" s="24"/>
      <c r="J59" s="1" t="s">
        <v>132</v>
      </c>
      <c r="K59" s="4"/>
      <c r="L59" s="4"/>
      <c r="M59" s="4"/>
      <c r="N59" s="4"/>
      <c r="O59" s="4"/>
      <c r="P59" s="33"/>
      <c r="Q59" s="25">
        <v>0</v>
      </c>
      <c r="R59" s="25">
        <v>0</v>
      </c>
      <c r="S59" s="12">
        <f t="shared" si="32"/>
        <v>0</v>
      </c>
      <c r="T59" s="5">
        <v>0</v>
      </c>
      <c r="U59" s="12">
        <f t="shared" si="33"/>
        <v>0</v>
      </c>
      <c r="V59" s="25" t="s">
        <v>10</v>
      </c>
      <c r="W59" s="11">
        <f>IFERROR(VLOOKUP(V59,Curr!$B$2:$C$13,2,FALSE),0)</f>
        <v>10.8</v>
      </c>
      <c r="X59" s="12">
        <f t="shared" si="34"/>
        <v>0</v>
      </c>
      <c r="Y59" s="26">
        <f t="shared" si="35"/>
        <v>0</v>
      </c>
      <c r="Z59" s="12">
        <f t="shared" si="36"/>
        <v>0</v>
      </c>
      <c r="AA59" s="4" t="s">
        <v>10</v>
      </c>
      <c r="AB59" s="11">
        <f>IFERROR(VLOOKUP(AA59,Curr!$B$2:$C$13,2,FALSE),0)</f>
        <v>10.8</v>
      </c>
      <c r="AC59" s="12">
        <f t="shared" si="37"/>
        <v>0</v>
      </c>
      <c r="AD59" s="12">
        <f t="shared" si="38"/>
        <v>0</v>
      </c>
      <c r="AE59" s="13">
        <f t="shared" si="39"/>
        <v>0</v>
      </c>
    </row>
    <row r="60" spans="2:31" x14ac:dyDescent="0.25">
      <c r="B60" s="4"/>
      <c r="C60" s="1" t="s">
        <v>113</v>
      </c>
      <c r="D60" s="1" t="s">
        <v>50</v>
      </c>
      <c r="E60" s="3" t="s">
        <v>54</v>
      </c>
      <c r="F60" s="3"/>
      <c r="G60" s="24"/>
      <c r="H60" s="24"/>
      <c r="J60" s="1" t="s">
        <v>126</v>
      </c>
      <c r="K60" s="4"/>
      <c r="L60" s="4"/>
      <c r="M60" s="4"/>
      <c r="N60" s="4"/>
      <c r="O60" s="4"/>
      <c r="P60" s="33"/>
      <c r="Q60" s="25">
        <v>0</v>
      </c>
      <c r="R60" s="25">
        <v>0</v>
      </c>
      <c r="S60" s="12">
        <f t="shared" si="32"/>
        <v>0</v>
      </c>
      <c r="T60" s="5">
        <v>0</v>
      </c>
      <c r="U60" s="12">
        <f t="shared" si="33"/>
        <v>0</v>
      </c>
      <c r="V60" s="25" t="s">
        <v>10</v>
      </c>
      <c r="W60" s="11">
        <f>IFERROR(VLOOKUP(V60,Curr!$B$2:$C$13,2,FALSE),0)</f>
        <v>10.8</v>
      </c>
      <c r="X60" s="12">
        <f t="shared" si="34"/>
        <v>0</v>
      </c>
      <c r="Y60" s="26">
        <f t="shared" si="35"/>
        <v>0</v>
      </c>
      <c r="Z60" s="12">
        <f t="shared" si="36"/>
        <v>0</v>
      </c>
      <c r="AA60" s="4" t="s">
        <v>10</v>
      </c>
      <c r="AB60" s="11">
        <f>IFERROR(VLOOKUP(AA60,Curr!$B$2:$C$13,2,FALSE),0)</f>
        <v>10.8</v>
      </c>
      <c r="AC60" s="12">
        <f t="shared" si="37"/>
        <v>0</v>
      </c>
      <c r="AD60" s="12">
        <f t="shared" si="38"/>
        <v>0</v>
      </c>
      <c r="AE60" s="13">
        <f t="shared" si="39"/>
        <v>0</v>
      </c>
    </row>
    <row r="61" spans="2:31" x14ac:dyDescent="0.25">
      <c r="B61" s="4"/>
      <c r="C61" s="1" t="s">
        <v>113</v>
      </c>
      <c r="D61" s="1" t="s">
        <v>51</v>
      </c>
      <c r="E61" s="3" t="s">
        <v>54</v>
      </c>
      <c r="F61" s="3"/>
      <c r="G61" s="24"/>
      <c r="H61" s="24"/>
      <c r="J61" s="1" t="s">
        <v>114</v>
      </c>
      <c r="K61" s="4"/>
      <c r="L61" s="4"/>
      <c r="M61" s="4"/>
      <c r="N61" s="4"/>
      <c r="O61" s="4"/>
      <c r="P61" s="33"/>
      <c r="Q61" s="25">
        <v>0</v>
      </c>
      <c r="R61" s="25">
        <v>0</v>
      </c>
      <c r="S61" s="12">
        <f t="shared" si="16"/>
        <v>0</v>
      </c>
      <c r="T61" s="5">
        <v>0</v>
      </c>
      <c r="U61" s="12">
        <f t="shared" si="17"/>
        <v>0</v>
      </c>
      <c r="V61" s="25" t="s">
        <v>10</v>
      </c>
      <c r="W61" s="11">
        <f>IFERROR(VLOOKUP(V61,Curr!$B$2:$C$13,2,FALSE),0)</f>
        <v>10.8</v>
      </c>
      <c r="X61" s="12">
        <f t="shared" si="18"/>
        <v>0</v>
      </c>
      <c r="Y61" s="26">
        <f t="shared" si="19"/>
        <v>0</v>
      </c>
      <c r="Z61" s="12">
        <f t="shared" si="20"/>
        <v>0</v>
      </c>
      <c r="AA61" s="4" t="s">
        <v>10</v>
      </c>
      <c r="AB61" s="11">
        <f>IFERROR(VLOOKUP(AA61,Curr!$B$2:$C$13,2,FALSE),0)</f>
        <v>10.8</v>
      </c>
      <c r="AC61" s="12">
        <f t="shared" si="21"/>
        <v>0</v>
      </c>
      <c r="AD61" s="12">
        <f t="shared" si="22"/>
        <v>0</v>
      </c>
      <c r="AE61" s="13">
        <f t="shared" si="23"/>
        <v>0</v>
      </c>
    </row>
    <row r="62" spans="2:31" x14ac:dyDescent="0.25">
      <c r="B62" s="4"/>
      <c r="E62" s="3"/>
      <c r="F62" s="3"/>
      <c r="G62" s="24"/>
      <c r="H62" s="24"/>
      <c r="K62" s="4"/>
      <c r="L62" s="4"/>
      <c r="M62" s="4"/>
      <c r="N62" s="4"/>
      <c r="O62" s="4"/>
      <c r="P62" s="27"/>
      <c r="Q62" s="25">
        <v>0</v>
      </c>
      <c r="R62" s="25">
        <v>0</v>
      </c>
      <c r="S62" s="12">
        <f t="shared" si="16"/>
        <v>0</v>
      </c>
      <c r="T62" s="5">
        <v>0</v>
      </c>
      <c r="U62" s="12">
        <f t="shared" si="17"/>
        <v>0</v>
      </c>
      <c r="V62" s="25" t="s">
        <v>10</v>
      </c>
      <c r="W62" s="11">
        <f>IFERROR(VLOOKUP(V62,Curr!$B$2:$C$13,2,FALSE),0)</f>
        <v>10.8</v>
      </c>
      <c r="X62" s="12">
        <f t="shared" si="18"/>
        <v>0</v>
      </c>
      <c r="Y62" s="26">
        <f t="shared" si="19"/>
        <v>0</v>
      </c>
      <c r="Z62" s="12">
        <f t="shared" si="20"/>
        <v>0</v>
      </c>
      <c r="AA62" s="4" t="s">
        <v>10</v>
      </c>
      <c r="AB62" s="11">
        <f>IFERROR(VLOOKUP(AA62,Curr!$B$2:$C$13,2,FALSE),0)</f>
        <v>10.8</v>
      </c>
      <c r="AC62" s="12">
        <f t="shared" si="21"/>
        <v>0</v>
      </c>
      <c r="AD62" s="12">
        <f t="shared" si="22"/>
        <v>0</v>
      </c>
      <c r="AE62" s="13">
        <f t="shared" si="23"/>
        <v>0</v>
      </c>
    </row>
    <row r="63" spans="2:31" x14ac:dyDescent="0.25">
      <c r="B63" s="4"/>
      <c r="C63" s="1" t="s">
        <v>117</v>
      </c>
      <c r="D63" s="1" t="s">
        <v>56</v>
      </c>
      <c r="E63" s="3" t="s">
        <v>118</v>
      </c>
      <c r="F63" s="3"/>
      <c r="G63" s="24"/>
      <c r="H63" s="24"/>
      <c r="J63" s="1" t="s">
        <v>131</v>
      </c>
      <c r="K63" s="4"/>
      <c r="L63" s="4"/>
      <c r="M63" s="4"/>
      <c r="N63" s="4"/>
      <c r="O63" s="4"/>
      <c r="P63" s="27"/>
      <c r="Q63" s="25">
        <v>0</v>
      </c>
      <c r="R63" s="25">
        <v>0</v>
      </c>
      <c r="S63" s="12">
        <f t="shared" si="16"/>
        <v>0</v>
      </c>
      <c r="T63" s="5">
        <v>0</v>
      </c>
      <c r="U63" s="12">
        <f t="shared" si="17"/>
        <v>0</v>
      </c>
      <c r="V63" s="25" t="s">
        <v>10</v>
      </c>
      <c r="W63" s="11">
        <f>IFERROR(VLOOKUP(V63,Curr!$B$2:$C$13,2,FALSE),0)</f>
        <v>10.8</v>
      </c>
      <c r="X63" s="12">
        <f t="shared" si="18"/>
        <v>0</v>
      </c>
      <c r="Y63" s="26">
        <f t="shared" si="19"/>
        <v>0</v>
      </c>
      <c r="Z63" s="12">
        <f t="shared" si="20"/>
        <v>0</v>
      </c>
      <c r="AA63" s="4" t="s">
        <v>10</v>
      </c>
      <c r="AB63" s="11">
        <f>IFERROR(VLOOKUP(AA63,Curr!$B$2:$C$13,2,FALSE),0)</f>
        <v>10.8</v>
      </c>
      <c r="AC63" s="12">
        <f t="shared" si="21"/>
        <v>0</v>
      </c>
      <c r="AD63" s="12">
        <f t="shared" si="22"/>
        <v>0</v>
      </c>
      <c r="AE63" s="13">
        <f t="shared" si="23"/>
        <v>0</v>
      </c>
    </row>
    <row r="64" spans="2:31" x14ac:dyDescent="0.25">
      <c r="B64" s="4"/>
      <c r="C64" s="1" t="s">
        <v>117</v>
      </c>
      <c r="D64" s="1" t="s">
        <v>51</v>
      </c>
      <c r="E64" s="3" t="s">
        <v>118</v>
      </c>
      <c r="F64" s="3"/>
      <c r="G64" s="24"/>
      <c r="H64" s="24"/>
      <c r="J64" s="1" t="s">
        <v>114</v>
      </c>
      <c r="K64" s="4"/>
      <c r="L64" s="4"/>
      <c r="M64" s="4"/>
      <c r="N64" s="4"/>
      <c r="O64" s="4"/>
      <c r="P64" s="33"/>
      <c r="Q64" s="25">
        <v>0</v>
      </c>
      <c r="R64" s="25">
        <v>0</v>
      </c>
      <c r="S64" s="12">
        <f t="shared" si="16"/>
        <v>0</v>
      </c>
      <c r="T64" s="5">
        <v>0</v>
      </c>
      <c r="U64" s="12">
        <f t="shared" si="17"/>
        <v>0</v>
      </c>
      <c r="V64" s="25" t="s">
        <v>10</v>
      </c>
      <c r="W64" s="11">
        <f>IFERROR(VLOOKUP(V64,Curr!$B$2:$C$13,2,FALSE),0)</f>
        <v>10.8</v>
      </c>
      <c r="X64" s="12">
        <f t="shared" si="18"/>
        <v>0</v>
      </c>
      <c r="Y64" s="26">
        <f t="shared" si="19"/>
        <v>0</v>
      </c>
      <c r="Z64" s="12">
        <f t="shared" si="20"/>
        <v>0</v>
      </c>
      <c r="AA64" s="4" t="s">
        <v>10</v>
      </c>
      <c r="AB64" s="11">
        <f>IFERROR(VLOOKUP(AA64,Curr!$B$2:$C$13,2,FALSE),0)</f>
        <v>10.8</v>
      </c>
      <c r="AC64" s="12">
        <f t="shared" si="21"/>
        <v>0</v>
      </c>
      <c r="AD64" s="12">
        <f t="shared" si="22"/>
        <v>0</v>
      </c>
      <c r="AE64" s="13">
        <f t="shared" si="23"/>
        <v>0</v>
      </c>
    </row>
    <row r="65" spans="2:31" x14ac:dyDescent="0.25">
      <c r="B65" s="4"/>
      <c r="E65" s="3"/>
      <c r="F65" s="3"/>
      <c r="G65" s="24"/>
      <c r="H65" s="24"/>
      <c r="K65" s="4"/>
      <c r="L65" s="4"/>
      <c r="M65" s="4"/>
      <c r="N65" s="4"/>
      <c r="O65" s="4"/>
      <c r="P65" s="27"/>
      <c r="Q65" s="25"/>
      <c r="R65" s="25"/>
      <c r="S65" s="12">
        <f t="shared" si="16"/>
        <v>0</v>
      </c>
      <c r="T65" s="5">
        <v>0</v>
      </c>
      <c r="U65" s="12">
        <f t="shared" si="17"/>
        <v>0</v>
      </c>
      <c r="V65" s="25" t="s">
        <v>10</v>
      </c>
      <c r="W65" s="11">
        <f>IFERROR(VLOOKUP(V65,Curr!$B$2:$C$13,2,FALSE),0)</f>
        <v>10.8</v>
      </c>
      <c r="X65" s="12">
        <f t="shared" si="18"/>
        <v>0</v>
      </c>
      <c r="Y65" s="26">
        <f t="shared" si="19"/>
        <v>0</v>
      </c>
      <c r="Z65" s="12">
        <f t="shared" si="20"/>
        <v>0</v>
      </c>
      <c r="AA65" s="4" t="s">
        <v>10</v>
      </c>
      <c r="AB65" s="11">
        <f>IFERROR(VLOOKUP(AA65,Curr!$B$2:$C$13,2,FALSE),0)</f>
        <v>10.8</v>
      </c>
      <c r="AC65" s="12">
        <f t="shared" si="21"/>
        <v>0</v>
      </c>
      <c r="AD65" s="12">
        <f t="shared" si="22"/>
        <v>0</v>
      </c>
      <c r="AE65" s="13">
        <f t="shared" si="23"/>
        <v>0</v>
      </c>
    </row>
    <row r="66" spans="2:31" x14ac:dyDescent="0.25">
      <c r="B66" s="4"/>
      <c r="C66" s="1" t="s">
        <v>119</v>
      </c>
      <c r="D66" s="1" t="s">
        <v>49</v>
      </c>
      <c r="E66" s="3" t="s">
        <v>120</v>
      </c>
      <c r="F66" s="3"/>
      <c r="G66" s="24"/>
      <c r="H66" s="24"/>
      <c r="J66" s="1" t="s">
        <v>130</v>
      </c>
      <c r="K66" s="4"/>
      <c r="L66" s="4"/>
      <c r="M66" s="4"/>
      <c r="N66" s="4"/>
      <c r="O66" s="4"/>
      <c r="P66" s="33"/>
      <c r="Q66" s="25">
        <v>0</v>
      </c>
      <c r="R66" s="25">
        <v>0</v>
      </c>
      <c r="S66" s="12">
        <f t="shared" si="16"/>
        <v>0</v>
      </c>
      <c r="T66" s="5">
        <v>0</v>
      </c>
      <c r="U66" s="12">
        <f t="shared" si="17"/>
        <v>0</v>
      </c>
      <c r="V66" s="25" t="s">
        <v>10</v>
      </c>
      <c r="W66" s="11">
        <f>IFERROR(VLOOKUP(V66,Curr!$B$2:$C$13,2,FALSE),0)</f>
        <v>10.8</v>
      </c>
      <c r="X66" s="12">
        <f t="shared" si="18"/>
        <v>0</v>
      </c>
      <c r="Y66" s="26">
        <f t="shared" si="19"/>
        <v>0</v>
      </c>
      <c r="Z66" s="12">
        <f t="shared" si="20"/>
        <v>0</v>
      </c>
      <c r="AA66" s="4" t="s">
        <v>10</v>
      </c>
      <c r="AB66" s="11">
        <f>IFERROR(VLOOKUP(AA66,Curr!$B$2:$C$13,2,FALSE),0)</f>
        <v>10.8</v>
      </c>
      <c r="AC66" s="12">
        <f t="shared" si="21"/>
        <v>0</v>
      </c>
      <c r="AD66" s="12">
        <f t="shared" si="22"/>
        <v>0</v>
      </c>
      <c r="AE66" s="13">
        <f t="shared" si="23"/>
        <v>0</v>
      </c>
    </row>
    <row r="67" spans="2:31" x14ac:dyDescent="0.25">
      <c r="B67" s="4"/>
      <c r="C67" s="1" t="s">
        <v>119</v>
      </c>
      <c r="D67" s="1" t="s">
        <v>76</v>
      </c>
      <c r="E67" s="3" t="s">
        <v>120</v>
      </c>
      <c r="F67" s="3"/>
      <c r="G67" s="24"/>
      <c r="H67" s="24"/>
      <c r="J67" s="1" t="s">
        <v>129</v>
      </c>
      <c r="K67" s="4"/>
      <c r="L67" s="4"/>
      <c r="M67" s="4"/>
      <c r="N67" s="4"/>
      <c r="O67" s="4"/>
      <c r="P67" s="33"/>
      <c r="Q67" s="25">
        <v>0</v>
      </c>
      <c r="R67" s="25">
        <v>0</v>
      </c>
      <c r="S67" s="12">
        <f t="shared" si="16"/>
        <v>0</v>
      </c>
      <c r="T67" s="5">
        <v>0</v>
      </c>
      <c r="U67" s="12">
        <f t="shared" si="17"/>
        <v>0</v>
      </c>
      <c r="V67" s="25" t="s">
        <v>10</v>
      </c>
      <c r="W67" s="11">
        <f>IFERROR(VLOOKUP(V67,Curr!$B$2:$C$13,2,FALSE),0)</f>
        <v>10.8</v>
      </c>
      <c r="X67" s="12">
        <f t="shared" si="18"/>
        <v>0</v>
      </c>
      <c r="Y67" s="26">
        <f t="shared" si="19"/>
        <v>0</v>
      </c>
      <c r="Z67" s="12">
        <f t="shared" si="20"/>
        <v>0</v>
      </c>
      <c r="AA67" s="4" t="s">
        <v>10</v>
      </c>
      <c r="AB67" s="11">
        <f>IFERROR(VLOOKUP(AA67,Curr!$B$2:$C$13,2,FALSE),0)</f>
        <v>10.8</v>
      </c>
      <c r="AC67" s="12">
        <f t="shared" si="21"/>
        <v>0</v>
      </c>
      <c r="AD67" s="12">
        <f t="shared" si="22"/>
        <v>0</v>
      </c>
      <c r="AE67" s="13">
        <f t="shared" si="23"/>
        <v>0</v>
      </c>
    </row>
    <row r="68" spans="2:31" x14ac:dyDescent="0.25">
      <c r="B68" s="4"/>
      <c r="C68" s="1" t="s">
        <v>119</v>
      </c>
      <c r="D68" s="1" t="s">
        <v>49</v>
      </c>
      <c r="E68" s="3" t="s">
        <v>120</v>
      </c>
      <c r="F68" s="3"/>
      <c r="G68" s="24"/>
      <c r="H68" s="24"/>
      <c r="J68" s="1" t="s">
        <v>100</v>
      </c>
      <c r="K68" s="4"/>
      <c r="L68" s="4"/>
      <c r="M68" s="4"/>
      <c r="N68" s="4"/>
      <c r="O68" s="4"/>
      <c r="P68" s="33"/>
      <c r="Q68" s="25">
        <v>0</v>
      </c>
      <c r="R68" s="25">
        <v>0</v>
      </c>
      <c r="S68" s="12">
        <f t="shared" ref="S68:S70" si="40">+Q68*R68</f>
        <v>0</v>
      </c>
      <c r="T68" s="5">
        <v>0</v>
      </c>
      <c r="U68" s="12">
        <f t="shared" ref="U68:U70" si="41">S68*(1-T68)</f>
        <v>0</v>
      </c>
      <c r="V68" s="25" t="s">
        <v>10</v>
      </c>
      <c r="W68" s="11">
        <f>IFERROR(VLOOKUP(V68,Curr!$B$2:$C$13,2,FALSE),0)</f>
        <v>10.8</v>
      </c>
      <c r="X68" s="12">
        <f t="shared" ref="X68:X70" si="42">U68*W68</f>
        <v>0</v>
      </c>
      <c r="Y68" s="26">
        <f t="shared" ref="Y68:Y70" si="43">Q68</f>
        <v>0</v>
      </c>
      <c r="Z68" s="12">
        <f t="shared" ref="Z68:Z70" si="44">+Y68*R68</f>
        <v>0</v>
      </c>
      <c r="AA68" s="4" t="s">
        <v>10</v>
      </c>
      <c r="AB68" s="11">
        <f>IFERROR(VLOOKUP(AA68,Curr!$B$2:$C$13,2,FALSE),0)</f>
        <v>10.8</v>
      </c>
      <c r="AC68" s="12">
        <f t="shared" ref="AC68:AC70" si="45">+Y68*AB68*R68</f>
        <v>0</v>
      </c>
      <c r="AD68" s="12">
        <f t="shared" ref="AD68:AD70" si="46">+AC68-X68</f>
        <v>0</v>
      </c>
      <c r="AE68" s="13">
        <f t="shared" ref="AE68:AE70" si="47">IFERROR(AD68/AC68,0)</f>
        <v>0</v>
      </c>
    </row>
    <row r="69" spans="2:31" x14ac:dyDescent="0.25">
      <c r="B69" s="4"/>
      <c r="C69" s="1" t="s">
        <v>119</v>
      </c>
      <c r="D69" s="1" t="s">
        <v>50</v>
      </c>
      <c r="E69" s="3" t="s">
        <v>120</v>
      </c>
      <c r="F69" s="3"/>
      <c r="G69" s="24"/>
      <c r="H69" s="24"/>
      <c r="J69" s="1" t="s">
        <v>127</v>
      </c>
      <c r="K69" s="4"/>
      <c r="L69" s="4"/>
      <c r="M69" s="4"/>
      <c r="N69" s="4"/>
      <c r="O69" s="4"/>
      <c r="P69" s="33"/>
      <c r="Q69" s="25">
        <v>0</v>
      </c>
      <c r="R69" s="25">
        <v>0</v>
      </c>
      <c r="S69" s="12">
        <f t="shared" si="40"/>
        <v>0</v>
      </c>
      <c r="T69" s="5">
        <v>0</v>
      </c>
      <c r="U69" s="12">
        <f t="shared" si="41"/>
        <v>0</v>
      </c>
      <c r="V69" s="25" t="s">
        <v>10</v>
      </c>
      <c r="W69" s="11">
        <f>IFERROR(VLOOKUP(V69,Curr!$B$2:$C$13,2,FALSE),0)</f>
        <v>10.8</v>
      </c>
      <c r="X69" s="12">
        <f t="shared" si="42"/>
        <v>0</v>
      </c>
      <c r="Y69" s="26">
        <f t="shared" si="43"/>
        <v>0</v>
      </c>
      <c r="Z69" s="12">
        <f t="shared" si="44"/>
        <v>0</v>
      </c>
      <c r="AA69" s="4" t="s">
        <v>10</v>
      </c>
      <c r="AB69" s="11">
        <f>IFERROR(VLOOKUP(AA69,Curr!$B$2:$C$13,2,FALSE),0)</f>
        <v>10.8</v>
      </c>
      <c r="AC69" s="12">
        <f t="shared" si="45"/>
        <v>0</v>
      </c>
      <c r="AD69" s="12">
        <f t="shared" si="46"/>
        <v>0</v>
      </c>
      <c r="AE69" s="13">
        <f t="shared" si="47"/>
        <v>0</v>
      </c>
    </row>
    <row r="70" spans="2:31" x14ac:dyDescent="0.25">
      <c r="B70" s="4"/>
      <c r="C70" s="1" t="s">
        <v>119</v>
      </c>
      <c r="D70" s="1" t="s">
        <v>51</v>
      </c>
      <c r="E70" s="3" t="s">
        <v>120</v>
      </c>
      <c r="F70" s="3"/>
      <c r="G70" s="24"/>
      <c r="H70" s="24"/>
      <c r="J70" s="1" t="s">
        <v>102</v>
      </c>
      <c r="K70" s="4"/>
      <c r="L70" s="4"/>
      <c r="M70" s="4"/>
      <c r="N70" s="4"/>
      <c r="O70" s="4"/>
      <c r="P70" s="33"/>
      <c r="Q70" s="25">
        <v>0</v>
      </c>
      <c r="R70" s="25">
        <v>0</v>
      </c>
      <c r="S70" s="12">
        <f t="shared" si="40"/>
        <v>0</v>
      </c>
      <c r="T70" s="5">
        <v>0</v>
      </c>
      <c r="U70" s="12">
        <f t="shared" si="41"/>
        <v>0</v>
      </c>
      <c r="V70" s="25" t="s">
        <v>10</v>
      </c>
      <c r="W70" s="11">
        <f>IFERROR(VLOOKUP(V70,Curr!$B$2:$C$13,2,FALSE),0)</f>
        <v>10.8</v>
      </c>
      <c r="X70" s="12">
        <f t="shared" si="42"/>
        <v>0</v>
      </c>
      <c r="Y70" s="26">
        <f t="shared" si="43"/>
        <v>0</v>
      </c>
      <c r="Z70" s="12">
        <f t="shared" si="44"/>
        <v>0</v>
      </c>
      <c r="AA70" s="4" t="s">
        <v>10</v>
      </c>
      <c r="AB70" s="11">
        <f>IFERROR(VLOOKUP(AA70,Curr!$B$2:$C$13,2,FALSE),0)</f>
        <v>10.8</v>
      </c>
      <c r="AC70" s="12">
        <f t="shared" si="45"/>
        <v>0</v>
      </c>
      <c r="AD70" s="12">
        <f t="shared" si="46"/>
        <v>0</v>
      </c>
      <c r="AE70" s="13">
        <f t="shared" si="47"/>
        <v>0</v>
      </c>
    </row>
    <row r="71" spans="2:31" x14ac:dyDescent="0.25">
      <c r="B71" s="4"/>
      <c r="E71" s="3"/>
      <c r="F71" s="3"/>
      <c r="G71" s="24"/>
      <c r="H71" s="24"/>
      <c r="K71" s="4"/>
      <c r="L71" s="4"/>
      <c r="M71" s="4"/>
      <c r="N71" s="4"/>
      <c r="O71" s="4"/>
      <c r="P71" s="33"/>
      <c r="Q71" s="25"/>
      <c r="R71" s="25"/>
      <c r="S71" s="12">
        <f t="shared" ref="S71" si="48">+Q71*R71</f>
        <v>0</v>
      </c>
      <c r="T71" s="5">
        <v>0</v>
      </c>
      <c r="U71" s="12">
        <f t="shared" ref="U71" si="49">S71*(1-T71)</f>
        <v>0</v>
      </c>
      <c r="V71" s="25" t="s">
        <v>10</v>
      </c>
      <c r="W71" s="11">
        <f>IFERROR(VLOOKUP(V71,Curr!$B$2:$C$13,2,FALSE),0)</f>
        <v>10.8</v>
      </c>
      <c r="X71" s="12">
        <f t="shared" ref="X71" si="50">U71*W71</f>
        <v>0</v>
      </c>
      <c r="Y71" s="26">
        <f t="shared" ref="Y71" si="51">Q71</f>
        <v>0</v>
      </c>
      <c r="Z71" s="12">
        <f t="shared" ref="Z71" si="52">+Y71*R71</f>
        <v>0</v>
      </c>
      <c r="AA71" s="4" t="s">
        <v>10</v>
      </c>
      <c r="AB71" s="11">
        <f>IFERROR(VLOOKUP(AA71,Curr!$B$2:$C$13,2,FALSE),0)</f>
        <v>10.8</v>
      </c>
      <c r="AC71" s="12">
        <f t="shared" ref="AC71" si="53">+Y71*AB71*R71</f>
        <v>0</v>
      </c>
      <c r="AD71" s="12">
        <f t="shared" ref="AD71" si="54">+AC71-X71</f>
        <v>0</v>
      </c>
      <c r="AE71" s="13">
        <f t="shared" ref="AE71" si="55">IFERROR(AD71/AC71,0)</f>
        <v>0</v>
      </c>
    </row>
    <row r="72" spans="2:31" x14ac:dyDescent="0.25">
      <c r="B72" s="4"/>
      <c r="C72" s="1" t="s">
        <v>121</v>
      </c>
      <c r="D72" s="1" t="s">
        <v>49</v>
      </c>
      <c r="E72" s="3" t="s">
        <v>78</v>
      </c>
      <c r="F72" s="3"/>
      <c r="G72" s="24"/>
      <c r="H72" s="24"/>
      <c r="J72" s="1" t="s">
        <v>128</v>
      </c>
      <c r="K72" s="4"/>
      <c r="L72" s="4"/>
      <c r="M72" s="4"/>
      <c r="N72" s="4"/>
      <c r="O72" s="4"/>
      <c r="P72" s="27"/>
      <c r="Q72" s="25">
        <v>0</v>
      </c>
      <c r="R72" s="25">
        <v>0</v>
      </c>
      <c r="S72" s="12">
        <f t="shared" si="16"/>
        <v>0</v>
      </c>
      <c r="T72" s="5">
        <v>0</v>
      </c>
      <c r="U72" s="12">
        <f t="shared" si="17"/>
        <v>0</v>
      </c>
      <c r="V72" s="25" t="s">
        <v>10</v>
      </c>
      <c r="W72" s="11">
        <f>IFERROR(VLOOKUP(V72,Curr!$B$2:$C$13,2,FALSE),0)</f>
        <v>10.8</v>
      </c>
      <c r="X72" s="12">
        <f t="shared" si="18"/>
        <v>0</v>
      </c>
      <c r="Y72" s="26">
        <f t="shared" si="19"/>
        <v>0</v>
      </c>
      <c r="Z72" s="12">
        <f t="shared" si="20"/>
        <v>0</v>
      </c>
      <c r="AA72" s="4" t="s">
        <v>10</v>
      </c>
      <c r="AB72" s="11">
        <f>IFERROR(VLOOKUP(AA72,Curr!$B$2:$C$13,2,FALSE),0)</f>
        <v>10.8</v>
      </c>
      <c r="AC72" s="12">
        <f t="shared" si="21"/>
        <v>0</v>
      </c>
      <c r="AD72" s="12">
        <f t="shared" si="22"/>
        <v>0</v>
      </c>
      <c r="AE72" s="13">
        <f t="shared" si="23"/>
        <v>0</v>
      </c>
    </row>
    <row r="73" spans="2:31" x14ac:dyDescent="0.25">
      <c r="B73" s="4"/>
      <c r="C73" s="1" t="s">
        <v>121</v>
      </c>
      <c r="D73" s="1" t="s">
        <v>67</v>
      </c>
      <c r="E73" s="3" t="s">
        <v>78</v>
      </c>
      <c r="F73" s="3"/>
      <c r="G73" s="24"/>
      <c r="H73" s="24"/>
      <c r="J73" s="1" t="s">
        <v>122</v>
      </c>
      <c r="K73" s="4"/>
      <c r="L73" s="4"/>
      <c r="M73" s="4"/>
      <c r="N73" s="4"/>
      <c r="O73" s="4"/>
      <c r="P73" s="27"/>
      <c r="Q73" s="25">
        <v>0</v>
      </c>
      <c r="R73" s="25">
        <v>0</v>
      </c>
      <c r="S73" s="12">
        <f t="shared" ref="S73:S78" si="56">+Q73*R73</f>
        <v>0</v>
      </c>
      <c r="T73" s="5">
        <v>0</v>
      </c>
      <c r="U73" s="12">
        <f t="shared" ref="U73:U78" si="57">S73*(1-T73)</f>
        <v>0</v>
      </c>
      <c r="V73" s="25" t="s">
        <v>10</v>
      </c>
      <c r="W73" s="11">
        <f>IFERROR(VLOOKUP(V73,Curr!$B$2:$C$13,2,FALSE),0)</f>
        <v>10.8</v>
      </c>
      <c r="X73" s="12">
        <f t="shared" ref="X73:X78" si="58">U73*W73</f>
        <v>0</v>
      </c>
      <c r="Y73" s="26">
        <f t="shared" ref="Y73:Y78" si="59">Q73</f>
        <v>0</v>
      </c>
      <c r="Z73" s="12">
        <f t="shared" ref="Z73:Z78" si="60">+Y73*R73</f>
        <v>0</v>
      </c>
      <c r="AA73" s="4" t="s">
        <v>10</v>
      </c>
      <c r="AB73" s="11">
        <f>IFERROR(VLOOKUP(AA73,Curr!$B$2:$C$13,2,FALSE),0)</f>
        <v>10.8</v>
      </c>
      <c r="AC73" s="12">
        <f t="shared" ref="AC73:AC78" si="61">+Y73*AB73*R73</f>
        <v>0</v>
      </c>
      <c r="AD73" s="12">
        <f t="shared" ref="AD73:AD78" si="62">+AC73-X73</f>
        <v>0</v>
      </c>
      <c r="AE73" s="13">
        <f t="shared" ref="AE73:AE78" si="63">IFERROR(AD73/AC73,0)</f>
        <v>0</v>
      </c>
    </row>
    <row r="74" spans="2:31" x14ac:dyDescent="0.25">
      <c r="B74" s="4"/>
      <c r="E74" s="3"/>
      <c r="F74" s="3"/>
      <c r="G74" s="24"/>
      <c r="H74" s="24"/>
      <c r="K74" s="4"/>
      <c r="L74" s="4"/>
      <c r="M74" s="4"/>
      <c r="N74" s="4"/>
      <c r="O74" s="4"/>
      <c r="P74" s="27"/>
      <c r="Q74" s="25"/>
      <c r="R74" s="25"/>
      <c r="S74" s="12">
        <f t="shared" si="56"/>
        <v>0</v>
      </c>
      <c r="T74" s="5">
        <v>0</v>
      </c>
      <c r="U74" s="12">
        <f t="shared" si="57"/>
        <v>0</v>
      </c>
      <c r="V74" s="25" t="s">
        <v>10</v>
      </c>
      <c r="W74" s="11">
        <f>IFERROR(VLOOKUP(V74,Curr!$B$2:$C$13,2,FALSE),0)</f>
        <v>10.8</v>
      </c>
      <c r="X74" s="12">
        <f t="shared" si="58"/>
        <v>0</v>
      </c>
      <c r="Y74" s="26">
        <f t="shared" si="59"/>
        <v>0</v>
      </c>
      <c r="Z74" s="12">
        <f t="shared" si="60"/>
        <v>0</v>
      </c>
      <c r="AA74" s="4" t="s">
        <v>10</v>
      </c>
      <c r="AB74" s="11">
        <f>IFERROR(VLOOKUP(AA74,Curr!$B$2:$C$13,2,FALSE),0)</f>
        <v>10.8</v>
      </c>
      <c r="AC74" s="12">
        <f t="shared" si="61"/>
        <v>0</v>
      </c>
      <c r="AD74" s="12">
        <f t="shared" si="62"/>
        <v>0</v>
      </c>
      <c r="AE74" s="13">
        <f t="shared" si="63"/>
        <v>0</v>
      </c>
    </row>
    <row r="75" spans="2:31" x14ac:dyDescent="0.25">
      <c r="B75" s="4"/>
      <c r="E75" s="3"/>
      <c r="F75" s="3"/>
      <c r="G75" s="24"/>
      <c r="H75" s="24"/>
      <c r="K75" s="4"/>
      <c r="L75" s="4"/>
      <c r="M75" s="4"/>
      <c r="N75" s="4"/>
      <c r="O75" s="4"/>
      <c r="P75" s="27"/>
      <c r="Q75" s="25"/>
      <c r="R75" s="25"/>
      <c r="S75" s="12">
        <f t="shared" si="56"/>
        <v>0</v>
      </c>
      <c r="T75" s="5">
        <v>0</v>
      </c>
      <c r="U75" s="12">
        <f t="shared" si="57"/>
        <v>0</v>
      </c>
      <c r="V75" s="25" t="s">
        <v>10</v>
      </c>
      <c r="W75" s="11">
        <f>IFERROR(VLOOKUP(V75,Curr!$B$2:$C$13,2,FALSE),0)</f>
        <v>10.8</v>
      </c>
      <c r="X75" s="12">
        <f t="shared" si="58"/>
        <v>0</v>
      </c>
      <c r="Y75" s="26">
        <f t="shared" si="59"/>
        <v>0</v>
      </c>
      <c r="Z75" s="12">
        <f t="shared" si="60"/>
        <v>0</v>
      </c>
      <c r="AA75" s="4" t="s">
        <v>10</v>
      </c>
      <c r="AB75" s="11">
        <f>IFERROR(VLOOKUP(AA75,Curr!$B$2:$C$13,2,FALSE),0)</f>
        <v>10.8</v>
      </c>
      <c r="AC75" s="12">
        <f t="shared" si="61"/>
        <v>0</v>
      </c>
      <c r="AD75" s="12">
        <f t="shared" si="62"/>
        <v>0</v>
      </c>
      <c r="AE75" s="13">
        <f t="shared" si="63"/>
        <v>0</v>
      </c>
    </row>
    <row r="76" spans="2:31" x14ac:dyDescent="0.25">
      <c r="B76" s="4"/>
      <c r="E76" s="3"/>
      <c r="F76" s="3"/>
      <c r="G76" s="24"/>
      <c r="H76" s="24"/>
      <c r="K76" s="4"/>
      <c r="L76" s="4"/>
      <c r="M76" s="4"/>
      <c r="N76" s="4"/>
      <c r="O76" s="4"/>
      <c r="P76" s="27"/>
      <c r="Q76" s="25"/>
      <c r="R76" s="25"/>
      <c r="S76" s="12">
        <f t="shared" si="56"/>
        <v>0</v>
      </c>
      <c r="T76" s="5">
        <v>0</v>
      </c>
      <c r="U76" s="12">
        <f t="shared" si="57"/>
        <v>0</v>
      </c>
      <c r="V76" s="25" t="s">
        <v>10</v>
      </c>
      <c r="W76" s="11">
        <f>IFERROR(VLOOKUP(V76,Curr!$B$2:$C$13,2,FALSE),0)</f>
        <v>10.8</v>
      </c>
      <c r="X76" s="12">
        <f t="shared" si="58"/>
        <v>0</v>
      </c>
      <c r="Y76" s="26">
        <f t="shared" si="59"/>
        <v>0</v>
      </c>
      <c r="Z76" s="12">
        <f t="shared" si="60"/>
        <v>0</v>
      </c>
      <c r="AA76" s="4" t="s">
        <v>10</v>
      </c>
      <c r="AB76" s="11">
        <f>IFERROR(VLOOKUP(AA76,Curr!$B$2:$C$13,2,FALSE),0)</f>
        <v>10.8</v>
      </c>
      <c r="AC76" s="12">
        <f t="shared" si="61"/>
        <v>0</v>
      </c>
      <c r="AD76" s="12">
        <f t="shared" si="62"/>
        <v>0</v>
      </c>
      <c r="AE76" s="13">
        <f t="shared" si="63"/>
        <v>0</v>
      </c>
    </row>
    <row r="77" spans="2:31" x14ac:dyDescent="0.25">
      <c r="B77" s="4"/>
      <c r="E77" s="3"/>
      <c r="F77" s="3"/>
      <c r="G77" s="24"/>
      <c r="H77" s="24"/>
      <c r="K77" s="4"/>
      <c r="L77" s="4"/>
      <c r="M77" s="4"/>
      <c r="N77" s="4"/>
      <c r="O77" s="4"/>
      <c r="P77" s="27"/>
      <c r="Q77" s="25"/>
      <c r="R77" s="25"/>
      <c r="S77" s="12">
        <f t="shared" si="56"/>
        <v>0</v>
      </c>
      <c r="T77" s="5">
        <v>0</v>
      </c>
      <c r="U77" s="12">
        <f t="shared" si="57"/>
        <v>0</v>
      </c>
      <c r="V77" s="25" t="s">
        <v>10</v>
      </c>
      <c r="W77" s="11">
        <f>IFERROR(VLOOKUP(V77,Curr!$B$2:$C$13,2,FALSE),0)</f>
        <v>10.8</v>
      </c>
      <c r="X77" s="12">
        <f t="shared" si="58"/>
        <v>0</v>
      </c>
      <c r="Y77" s="26">
        <f t="shared" si="59"/>
        <v>0</v>
      </c>
      <c r="Z77" s="12">
        <f t="shared" si="60"/>
        <v>0</v>
      </c>
      <c r="AA77" s="4" t="s">
        <v>10</v>
      </c>
      <c r="AB77" s="11">
        <f>IFERROR(VLOOKUP(AA77,Curr!$B$2:$C$13,2,FALSE),0)</f>
        <v>10.8</v>
      </c>
      <c r="AC77" s="12">
        <f t="shared" si="61"/>
        <v>0</v>
      </c>
      <c r="AD77" s="12">
        <f t="shared" si="62"/>
        <v>0</v>
      </c>
      <c r="AE77" s="13">
        <f t="shared" si="63"/>
        <v>0</v>
      </c>
    </row>
    <row r="78" spans="2:31" x14ac:dyDescent="0.25">
      <c r="B78" s="4"/>
      <c r="E78" s="3"/>
      <c r="F78" s="3"/>
      <c r="G78" s="24"/>
      <c r="H78" s="24"/>
      <c r="K78" s="4"/>
      <c r="L78" s="4"/>
      <c r="M78" s="4"/>
      <c r="N78" s="4"/>
      <c r="O78" s="4"/>
      <c r="P78" s="27"/>
      <c r="Q78" s="25"/>
      <c r="R78" s="25"/>
      <c r="S78" s="12">
        <f t="shared" si="56"/>
        <v>0</v>
      </c>
      <c r="T78" s="5">
        <v>0</v>
      </c>
      <c r="U78" s="12">
        <f t="shared" si="57"/>
        <v>0</v>
      </c>
      <c r="V78" s="25" t="s">
        <v>10</v>
      </c>
      <c r="W78" s="11">
        <f>IFERROR(VLOOKUP(V78,Curr!$B$2:$C$13,2,FALSE),0)</f>
        <v>10.8</v>
      </c>
      <c r="X78" s="12">
        <f t="shared" si="58"/>
        <v>0</v>
      </c>
      <c r="Y78" s="26">
        <f t="shared" si="59"/>
        <v>0</v>
      </c>
      <c r="Z78" s="12">
        <f t="shared" si="60"/>
        <v>0</v>
      </c>
      <c r="AA78" s="4" t="s">
        <v>10</v>
      </c>
      <c r="AB78" s="11">
        <f>IFERROR(VLOOKUP(AA78,Curr!$B$2:$C$13,2,FALSE),0)</f>
        <v>10.8</v>
      </c>
      <c r="AC78" s="12">
        <f t="shared" si="61"/>
        <v>0</v>
      </c>
      <c r="AD78" s="12">
        <f t="shared" si="62"/>
        <v>0</v>
      </c>
      <c r="AE78" s="13">
        <f t="shared" si="63"/>
        <v>0</v>
      </c>
    </row>
    <row r="79" spans="2:31" x14ac:dyDescent="0.25">
      <c r="B79" s="4"/>
      <c r="E79" s="3"/>
      <c r="F79" s="3"/>
      <c r="G79" s="24"/>
      <c r="H79" s="24"/>
      <c r="K79" s="4"/>
      <c r="L79" s="4"/>
      <c r="M79" s="4"/>
      <c r="N79" s="4"/>
      <c r="O79" s="4"/>
      <c r="P79" s="33"/>
      <c r="Q79" s="25"/>
      <c r="R79" s="25"/>
      <c r="S79" s="12">
        <f t="shared" si="16"/>
        <v>0</v>
      </c>
      <c r="T79" s="5">
        <v>0</v>
      </c>
      <c r="U79" s="12">
        <f t="shared" si="17"/>
        <v>0</v>
      </c>
      <c r="V79" s="25" t="s">
        <v>10</v>
      </c>
      <c r="W79" s="11">
        <f>IFERROR(VLOOKUP(V79,Curr!$B$2:$C$13,2,FALSE),0)</f>
        <v>10.8</v>
      </c>
      <c r="X79" s="12">
        <f t="shared" si="18"/>
        <v>0</v>
      </c>
      <c r="Y79" s="26">
        <f t="shared" si="19"/>
        <v>0</v>
      </c>
      <c r="Z79" s="12">
        <f t="shared" si="20"/>
        <v>0</v>
      </c>
      <c r="AA79" s="4" t="s">
        <v>10</v>
      </c>
      <c r="AB79" s="11">
        <f>IFERROR(VLOOKUP(AA79,Curr!$B$2:$C$13,2,FALSE),0)</f>
        <v>10.8</v>
      </c>
      <c r="AC79" s="12">
        <f t="shared" si="21"/>
        <v>0</v>
      </c>
      <c r="AD79" s="12">
        <f t="shared" si="22"/>
        <v>0</v>
      </c>
      <c r="AE79" s="13">
        <f t="shared" si="23"/>
        <v>0</v>
      </c>
    </row>
    <row r="80" spans="2:31" x14ac:dyDescent="0.25">
      <c r="B80" s="4"/>
      <c r="E80" s="3"/>
      <c r="F80" s="3"/>
      <c r="G80" s="24"/>
      <c r="H80" s="24"/>
      <c r="K80" s="4"/>
      <c r="L80" s="4"/>
      <c r="M80" s="4"/>
      <c r="N80" s="4"/>
      <c r="O80" s="4"/>
      <c r="P80" s="27"/>
      <c r="Q80" s="25"/>
      <c r="R80" s="25"/>
      <c r="S80" s="12">
        <f t="shared" si="16"/>
        <v>0</v>
      </c>
      <c r="T80" s="5">
        <v>0</v>
      </c>
      <c r="U80" s="12">
        <f t="shared" si="17"/>
        <v>0</v>
      </c>
      <c r="V80" s="25" t="s">
        <v>10</v>
      </c>
      <c r="W80" s="11">
        <f>IFERROR(VLOOKUP(V80,Curr!$B$2:$C$13,2,FALSE),0)</f>
        <v>10.8</v>
      </c>
      <c r="X80" s="12">
        <f t="shared" si="18"/>
        <v>0</v>
      </c>
      <c r="Y80" s="26">
        <f t="shared" si="19"/>
        <v>0</v>
      </c>
      <c r="Z80" s="12">
        <f t="shared" si="20"/>
        <v>0</v>
      </c>
      <c r="AA80" s="4" t="s">
        <v>10</v>
      </c>
      <c r="AB80" s="11">
        <f>IFERROR(VLOOKUP(AA80,Curr!$B$2:$C$13,2,FALSE),0)</f>
        <v>10.8</v>
      </c>
      <c r="AC80" s="12">
        <f t="shared" si="21"/>
        <v>0</v>
      </c>
      <c r="AD80" s="12">
        <f t="shared" si="22"/>
        <v>0</v>
      </c>
      <c r="AE80" s="13">
        <f t="shared" si="23"/>
        <v>0</v>
      </c>
    </row>
    <row r="81" spans="2:36" x14ac:dyDescent="0.25">
      <c r="B81" s="4"/>
      <c r="E81" s="3"/>
      <c r="F81" s="3"/>
      <c r="G81" s="24"/>
      <c r="H81" s="24"/>
      <c r="K81" s="4"/>
      <c r="L81" s="4"/>
      <c r="M81" s="4"/>
      <c r="N81" s="4"/>
      <c r="O81" s="4"/>
      <c r="P81" s="33"/>
      <c r="Q81" s="25"/>
      <c r="R81" s="25"/>
      <c r="S81" s="12">
        <f t="shared" si="16"/>
        <v>0</v>
      </c>
      <c r="T81" s="5">
        <v>0</v>
      </c>
      <c r="U81" s="12">
        <f t="shared" si="17"/>
        <v>0</v>
      </c>
      <c r="V81" s="25" t="s">
        <v>10</v>
      </c>
      <c r="W81" s="11">
        <f>IFERROR(VLOOKUP(V81,Curr!$B$2:$C$13,2,FALSE),0)</f>
        <v>10.8</v>
      </c>
      <c r="X81" s="12">
        <f t="shared" si="18"/>
        <v>0</v>
      </c>
      <c r="Y81" s="26">
        <f t="shared" si="19"/>
        <v>0</v>
      </c>
      <c r="Z81" s="12">
        <f t="shared" si="20"/>
        <v>0</v>
      </c>
      <c r="AA81" s="4" t="s">
        <v>10</v>
      </c>
      <c r="AB81" s="11">
        <f>IFERROR(VLOOKUP(AA81,Curr!$B$2:$C$13,2,FALSE),0)</f>
        <v>10.8</v>
      </c>
      <c r="AC81" s="12">
        <f t="shared" si="21"/>
        <v>0</v>
      </c>
      <c r="AD81" s="12">
        <f t="shared" si="22"/>
        <v>0</v>
      </c>
      <c r="AE81" s="13">
        <f t="shared" si="23"/>
        <v>0</v>
      </c>
    </row>
    <row r="82" spans="2:36" x14ac:dyDescent="0.25">
      <c r="B82" s="4"/>
      <c r="E82" s="3"/>
      <c r="F82" s="3"/>
      <c r="G82" s="3"/>
      <c r="H82" s="3"/>
      <c r="L82" s="4"/>
      <c r="M82" s="4"/>
      <c r="N82" s="4"/>
      <c r="O82" s="4"/>
      <c r="P82" s="22"/>
      <c r="Q82" s="4"/>
      <c r="R82" s="4"/>
      <c r="S82" s="4"/>
      <c r="T82" s="4"/>
      <c r="U82" s="4"/>
      <c r="V82" s="4"/>
      <c r="W82" s="4"/>
      <c r="X82" s="4"/>
      <c r="Y82" s="4"/>
      <c r="Z82" s="4"/>
      <c r="AA82" s="4"/>
      <c r="AB82" s="4"/>
      <c r="AC82" s="4"/>
      <c r="AD82" s="4"/>
      <c r="AE82" s="4"/>
      <c r="AF82" s="4"/>
    </row>
    <row r="83" spans="2:36" x14ac:dyDescent="0.25">
      <c r="B83" s="14" t="s">
        <v>18</v>
      </c>
      <c r="C83" s="14"/>
      <c r="D83" s="28" t="s">
        <v>42</v>
      </c>
      <c r="E83" s="30" t="s">
        <v>42</v>
      </c>
      <c r="F83" s="30" t="s">
        <v>42</v>
      </c>
      <c r="G83" s="30" t="s">
        <v>42</v>
      </c>
      <c r="H83" s="30" t="s">
        <v>42</v>
      </c>
      <c r="I83" s="28" t="s">
        <v>42</v>
      </c>
      <c r="J83" s="28" t="s">
        <v>42</v>
      </c>
      <c r="K83" s="28" t="s">
        <v>42</v>
      </c>
      <c r="L83" s="28" t="s">
        <v>42</v>
      </c>
      <c r="M83" s="28" t="s">
        <v>42</v>
      </c>
      <c r="N83" s="28" t="s">
        <v>42</v>
      </c>
      <c r="O83" s="28" t="s">
        <v>42</v>
      </c>
      <c r="P83" s="28" t="s">
        <v>42</v>
      </c>
      <c r="Q83" s="31" t="s">
        <v>42</v>
      </c>
      <c r="R83" s="28" t="s">
        <v>42</v>
      </c>
      <c r="S83" s="32" t="s">
        <v>42</v>
      </c>
      <c r="T83" s="28" t="s">
        <v>42</v>
      </c>
      <c r="U83" s="32" t="s">
        <v>42</v>
      </c>
      <c r="V83" s="28" t="s">
        <v>42</v>
      </c>
      <c r="W83" s="28" t="s">
        <v>42</v>
      </c>
      <c r="X83" s="32" t="s">
        <v>42</v>
      </c>
      <c r="Y83" s="32" t="s">
        <v>42</v>
      </c>
      <c r="Z83" s="15">
        <f>SUM(Z7:Z81)</f>
        <v>1192.9411764705883</v>
      </c>
      <c r="AA83" s="14"/>
      <c r="AB83" s="14"/>
      <c r="AC83" s="15">
        <f>SUM(AC7:AC81)</f>
        <v>12883.764705882355</v>
      </c>
      <c r="AD83" s="15">
        <f>SUM(AD7:AD81)</f>
        <v>1932.5647058823542</v>
      </c>
      <c r="AE83" s="21">
        <f t="shared" ref="AE83" si="64">IFERROR(AD83/AC83,0)</f>
        <v>0.15000000000000008</v>
      </c>
      <c r="AF83" s="15">
        <f>SUM(AF8:AF82)</f>
        <v>0</v>
      </c>
      <c r="AG83" s="15">
        <f>SUM(AG8:AG82)</f>
        <v>0</v>
      </c>
      <c r="AH83" s="15">
        <f>SUM(AH8:AH82)</f>
        <v>0</v>
      </c>
      <c r="AI83" s="15">
        <f>SUM(AI8:AI82)</f>
        <v>0</v>
      </c>
      <c r="AJ83" s="15">
        <f>SUM(AJ8:AJ82)</f>
        <v>0</v>
      </c>
    </row>
    <row r="84" spans="2:36" x14ac:dyDescent="0.25">
      <c r="B84" s="4"/>
      <c r="E84" s="3"/>
      <c r="F84" s="3"/>
      <c r="G84" s="3"/>
      <c r="H84" s="3"/>
      <c r="L84" s="4"/>
      <c r="M84" s="4"/>
      <c r="N84" s="4"/>
      <c r="O84" s="4"/>
      <c r="Q84" s="4"/>
      <c r="R84" s="4"/>
      <c r="S84" s="4"/>
      <c r="T84" s="4"/>
      <c r="U84" s="4"/>
      <c r="V84" s="4"/>
      <c r="W84" s="4"/>
      <c r="X84" s="4"/>
      <c r="Y84" s="9"/>
      <c r="Z84" s="9"/>
      <c r="AA84" s="9"/>
      <c r="AB84" s="9"/>
      <c r="AC84" s="9"/>
      <c r="AD84" s="9"/>
      <c r="AE84" s="9"/>
    </row>
    <row r="85" spans="2:36" x14ac:dyDescent="0.25">
      <c r="B85" s="4"/>
      <c r="E85" s="3"/>
      <c r="F85" s="3"/>
      <c r="G85" s="3"/>
      <c r="H85" s="3"/>
      <c r="L85" s="4"/>
      <c r="M85" s="4"/>
      <c r="N85" s="4"/>
      <c r="O85" s="4"/>
      <c r="Q85" s="9"/>
      <c r="R85" s="9"/>
      <c r="S85" s="9"/>
      <c r="T85" s="9"/>
      <c r="U85" s="9"/>
      <c r="V85" s="9"/>
      <c r="W85" s="9"/>
      <c r="X85" s="23"/>
      <c r="Y85" s="34" t="s">
        <v>43</v>
      </c>
      <c r="Z85" s="34">
        <v>8920</v>
      </c>
      <c r="AA85" s="9"/>
      <c r="AB85" s="9"/>
      <c r="AC85" s="9"/>
      <c r="AD85" s="9"/>
      <c r="AE85" s="9"/>
    </row>
    <row r="86" spans="2:36" x14ac:dyDescent="0.25">
      <c r="B86" s="4"/>
      <c r="E86" s="3"/>
      <c r="F86" s="3"/>
      <c r="G86" s="3"/>
      <c r="H86" s="3"/>
      <c r="L86" s="4"/>
      <c r="M86" s="4"/>
      <c r="N86" s="4"/>
      <c r="O86" s="4"/>
      <c r="Q86" s="9"/>
      <c r="R86" s="9"/>
      <c r="S86" s="9"/>
      <c r="T86" s="9"/>
      <c r="U86" s="9"/>
      <c r="V86" s="9"/>
      <c r="W86" s="9"/>
      <c r="X86" s="9"/>
      <c r="Y86" s="34" t="s">
        <v>44</v>
      </c>
      <c r="Z86" s="34">
        <f>Z85/4</f>
        <v>2230</v>
      </c>
      <c r="AA86" s="9"/>
      <c r="AB86" s="9"/>
      <c r="AC86" s="9"/>
      <c r="AD86" s="9"/>
      <c r="AE86" s="9"/>
      <c r="AF86" s="18"/>
    </row>
    <row r="87" spans="2:36" x14ac:dyDescent="0.25">
      <c r="B87" s="4"/>
      <c r="E87" s="3"/>
      <c r="F87" s="3"/>
      <c r="G87" s="3"/>
      <c r="H87" s="3"/>
      <c r="I87" s="19"/>
      <c r="J87" s="35"/>
      <c r="L87" s="4"/>
      <c r="M87" s="4"/>
      <c r="N87" s="4"/>
      <c r="O87" s="20"/>
      <c r="Q87" s="20"/>
      <c r="R87" s="20"/>
      <c r="S87" s="20"/>
      <c r="T87" s="20"/>
      <c r="U87" s="20"/>
      <c r="V87" s="20"/>
      <c r="W87" s="20"/>
      <c r="X87" s="20"/>
      <c r="Y87" s="9"/>
      <c r="Z87" s="9"/>
      <c r="AA87" s="9"/>
      <c r="AB87" s="9"/>
      <c r="AC87" s="9"/>
      <c r="AD87" s="9"/>
      <c r="AE87" s="9"/>
      <c r="AF87" s="18"/>
    </row>
    <row r="88" spans="2:36" x14ac:dyDescent="0.25">
      <c r="B88" s="4"/>
      <c r="E88" s="3"/>
      <c r="F88" s="3"/>
      <c r="G88" s="3"/>
      <c r="H88" s="3"/>
      <c r="L88" s="4"/>
      <c r="M88" s="4"/>
      <c r="N88" s="4"/>
      <c r="O88" s="20"/>
      <c r="Q88" s="20"/>
      <c r="R88" s="20"/>
      <c r="S88" s="20"/>
      <c r="T88" s="20"/>
      <c r="U88" s="20"/>
      <c r="V88" s="20"/>
      <c r="W88" s="20"/>
      <c r="X88" s="20"/>
      <c r="Y88" s="34" t="s">
        <v>31</v>
      </c>
      <c r="Z88" s="34">
        <v>10440</v>
      </c>
      <c r="AA88" s="9"/>
      <c r="AB88" s="9"/>
      <c r="AC88" s="9"/>
      <c r="AD88" s="9"/>
      <c r="AE88" s="9"/>
      <c r="AF88" s="18"/>
    </row>
    <row r="89" spans="2:36" x14ac:dyDescent="0.25">
      <c r="B89" s="4"/>
      <c r="E89" s="3"/>
      <c r="F89" s="3"/>
      <c r="G89" s="3"/>
      <c r="H89" s="3"/>
      <c r="L89" s="4"/>
      <c r="M89" s="4"/>
      <c r="N89" s="4"/>
      <c r="O89" s="4"/>
      <c r="Q89" s="9"/>
      <c r="R89" s="9"/>
      <c r="S89" s="9"/>
      <c r="T89" s="9"/>
      <c r="U89" s="9"/>
      <c r="V89" s="9"/>
      <c r="W89" s="9"/>
      <c r="X89" s="9"/>
      <c r="Y89" s="34" t="s">
        <v>44</v>
      </c>
      <c r="Z89" s="34">
        <f>Z88/4</f>
        <v>2610</v>
      </c>
      <c r="AA89" s="9"/>
      <c r="AB89" s="9"/>
      <c r="AC89" s="9"/>
      <c r="AD89" s="9"/>
      <c r="AE89" s="9"/>
      <c r="AF89" s="18"/>
    </row>
    <row r="90" spans="2:36" x14ac:dyDescent="0.25">
      <c r="F90" s="1"/>
      <c r="G90" s="1"/>
      <c r="H90" s="1"/>
      <c r="J90" s="1" t="s">
        <v>32</v>
      </c>
      <c r="Q90" s="9"/>
      <c r="R90" s="4"/>
      <c r="S90" s="9"/>
      <c r="T90" s="5"/>
      <c r="U90" s="9"/>
      <c r="V90" s="4"/>
      <c r="W90" s="4"/>
      <c r="X90" s="9"/>
      <c r="Y90" s="9"/>
      <c r="Z90" s="9"/>
      <c r="AA90" s="9"/>
      <c r="AB90" s="9"/>
      <c r="AC90" s="9"/>
      <c r="AD90" s="9"/>
      <c r="AE90" s="9"/>
    </row>
    <row r="91" spans="2:36" x14ac:dyDescent="0.25">
      <c r="R91" s="4"/>
      <c r="S91" s="17"/>
      <c r="T91" s="17"/>
      <c r="U91" s="9"/>
      <c r="V91" s="4"/>
      <c r="W91" s="4"/>
      <c r="X91" s="9"/>
      <c r="Y91" s="9"/>
      <c r="Z91" s="9"/>
      <c r="AA91" s="9"/>
      <c r="AB91" s="9"/>
      <c r="AC91" s="9"/>
      <c r="AD91" s="9"/>
      <c r="AE91" s="9"/>
    </row>
    <row r="92" spans="2:36" x14ac:dyDescent="0.25">
      <c r="Q92" s="9"/>
      <c r="R92" s="4"/>
      <c r="S92" s="16"/>
      <c r="T92" s="16"/>
      <c r="U92" s="9"/>
      <c r="V92" s="4"/>
      <c r="W92" s="4"/>
      <c r="X92" s="9"/>
      <c r="Y92" s="9"/>
      <c r="Z92" s="9"/>
      <c r="AA92" s="9"/>
      <c r="AB92" s="9"/>
      <c r="AC92" s="9"/>
      <c r="AD92" s="9"/>
      <c r="AE92" s="9"/>
    </row>
    <row r="93" spans="2:36" x14ac:dyDescent="0.25">
      <c r="R93" s="4"/>
      <c r="S93" s="16"/>
      <c r="T93" s="16"/>
      <c r="Y93" s="9"/>
      <c r="Z93" s="9"/>
      <c r="AA93" s="9"/>
      <c r="AB93" s="9"/>
      <c r="AC93" s="9"/>
      <c r="AD93" s="9"/>
      <c r="AE93" s="9"/>
    </row>
    <row r="94" spans="2:36" x14ac:dyDescent="0.25">
      <c r="T94" s="5"/>
      <c r="Y94" s="9"/>
      <c r="Z94" s="9"/>
      <c r="AA94" s="9"/>
      <c r="AB94" s="9"/>
      <c r="AC94" s="9"/>
      <c r="AD94" s="9"/>
      <c r="AE94" s="9"/>
    </row>
    <row r="95" spans="2:36" x14ac:dyDescent="0.25">
      <c r="T95" s="5"/>
      <c r="Y95" s="9"/>
      <c r="Z95" s="9"/>
      <c r="AA95" s="9"/>
      <c r="AB95" s="9"/>
      <c r="AC95" s="9"/>
      <c r="AD95" s="9"/>
      <c r="AE95" s="9"/>
    </row>
    <row r="96" spans="2:36" x14ac:dyDescent="0.25">
      <c r="T96" s="5"/>
      <c r="Y96" s="9"/>
      <c r="Z96" s="9"/>
      <c r="AA96" s="9"/>
      <c r="AB96" s="9"/>
      <c r="AC96" s="9"/>
      <c r="AD96" s="9"/>
      <c r="AE96" s="9"/>
    </row>
    <row r="97" spans="20:31" x14ac:dyDescent="0.25">
      <c r="T97" s="5"/>
      <c r="Y97" s="9"/>
      <c r="Z97" s="9"/>
      <c r="AA97" s="9"/>
      <c r="AB97" s="9"/>
      <c r="AC97" s="9"/>
      <c r="AD97" s="9"/>
      <c r="AE97" s="9"/>
    </row>
    <row r="98" spans="20:31" x14ac:dyDescent="0.25">
      <c r="T98" s="5"/>
      <c r="Y98" s="9"/>
      <c r="Z98" s="9"/>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row>
    <row r="103" spans="20:31" x14ac:dyDescent="0.25">
      <c r="T103" s="5"/>
    </row>
    <row r="104" spans="20:31" x14ac:dyDescent="0.25">
      <c r="T104" s="5"/>
    </row>
    <row r="105" spans="20:31" x14ac:dyDescent="0.25">
      <c r="T105" s="5"/>
    </row>
    <row r="106" spans="20:31" x14ac:dyDescent="0.25">
      <c r="T106" s="5"/>
    </row>
  </sheetData>
  <autoFilter ref="B6:AE83" xr:uid="{65FA6D9B-E0AF-46CD-BA0D-86BB75FE6AB0}"/>
  <hyperlinks>
    <hyperlink ref="P44" r:id="rId1" xr:uid="{E78A718C-8908-4234-823C-DB13BB01DF22}"/>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23E40-2E77-4C23-AE08-29FA9886F517}">
  <sheetPr>
    <tabColor rgb="FFFFFF00"/>
  </sheetPr>
  <dimension ref="B2:AK107"/>
  <sheetViews>
    <sheetView topLeftCell="A39" zoomScale="80" zoomScaleNormal="80" workbookViewId="0">
      <selection activeCell="J36" sqref="J36"/>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212</v>
      </c>
    </row>
    <row r="3" spans="2:36" x14ac:dyDescent="0.25">
      <c r="B3" s="2" t="s">
        <v>45</v>
      </c>
    </row>
    <row r="4" spans="2:36" x14ac:dyDescent="0.25">
      <c r="B4" s="2" t="s">
        <v>46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47</v>
      </c>
      <c r="D7" s="1" t="s">
        <v>48</v>
      </c>
      <c r="E7" s="3" t="s">
        <v>77</v>
      </c>
      <c r="F7" s="3"/>
      <c r="G7" s="3"/>
      <c r="H7" s="3"/>
      <c r="J7" s="1" t="s">
        <v>52</v>
      </c>
      <c r="K7" s="4"/>
      <c r="L7" s="4"/>
      <c r="M7" s="4"/>
      <c r="N7" s="4"/>
      <c r="O7" s="4"/>
      <c r="P7" s="27"/>
      <c r="Q7" s="25">
        <v>0</v>
      </c>
      <c r="R7" s="25">
        <v>0</v>
      </c>
      <c r="S7" s="12">
        <f t="shared" ref="S7:S71" si="0">+Q7*R7</f>
        <v>0</v>
      </c>
      <c r="T7" s="5">
        <v>0</v>
      </c>
      <c r="U7" s="12">
        <f t="shared" ref="U7:U71" si="1">S7*(1-T7)</f>
        <v>0</v>
      </c>
      <c r="V7" s="25" t="s">
        <v>10</v>
      </c>
      <c r="W7" s="11">
        <f>IFERROR(VLOOKUP(V7,Curr!$B$2:$C$13,2,FALSE),0)</f>
        <v>10.8</v>
      </c>
      <c r="X7" s="12">
        <f t="shared" ref="X7:X71" si="2">U7*W7</f>
        <v>0</v>
      </c>
      <c r="Y7" s="26">
        <f t="shared" ref="Y7:Y71" si="3">Q7</f>
        <v>0</v>
      </c>
      <c r="Z7" s="12">
        <f t="shared" ref="Z7:Z71" si="4">+Y7*R7</f>
        <v>0</v>
      </c>
      <c r="AA7" s="4" t="s">
        <v>10</v>
      </c>
      <c r="AB7" s="11">
        <f>IFERROR(VLOOKUP(AA7,Curr!$B$2:$C$13,2,FALSE),0)</f>
        <v>10.8</v>
      </c>
      <c r="AC7" s="12">
        <f t="shared" ref="AC7:AC71" si="5">+Y7*AB7*R7</f>
        <v>0</v>
      </c>
      <c r="AD7" s="12">
        <f t="shared" ref="AD7:AD71" si="6">+AC7-X7</f>
        <v>0</v>
      </c>
      <c r="AE7" s="13">
        <f t="shared" ref="AE7:AE71" si="7">IFERROR(AD7/AC7,0)</f>
        <v>0</v>
      </c>
    </row>
    <row r="8" spans="2:36" x14ac:dyDescent="0.25">
      <c r="B8" s="4"/>
      <c r="C8" s="1" t="s">
        <v>47</v>
      </c>
      <c r="D8" s="1" t="s">
        <v>74</v>
      </c>
      <c r="E8" s="3" t="s">
        <v>77</v>
      </c>
      <c r="F8" s="3" t="s">
        <v>59</v>
      </c>
      <c r="G8" s="24"/>
      <c r="H8" s="24"/>
      <c r="J8" s="1" t="s">
        <v>139</v>
      </c>
      <c r="K8" s="4"/>
      <c r="L8" s="4"/>
      <c r="M8" s="4"/>
      <c r="N8" s="4"/>
      <c r="O8" s="4"/>
      <c r="P8" s="33"/>
      <c r="Q8" s="25">
        <v>535</v>
      </c>
      <c r="R8" s="25">
        <v>1</v>
      </c>
      <c r="S8" s="12">
        <f t="shared" si="0"/>
        <v>535</v>
      </c>
      <c r="T8" s="5">
        <v>0</v>
      </c>
      <c r="U8" s="12">
        <f t="shared" si="1"/>
        <v>535</v>
      </c>
      <c r="V8" s="25" t="s">
        <v>10</v>
      </c>
      <c r="W8" s="11">
        <f>IFERROR(VLOOKUP(V8,Curr!$B$2:$C$13,2,FALSE),0)</f>
        <v>10.8</v>
      </c>
      <c r="X8" s="12">
        <f t="shared" si="2"/>
        <v>5778</v>
      </c>
      <c r="Y8" s="26">
        <f>Q8/0.8</f>
        <v>668.75</v>
      </c>
      <c r="Z8" s="12">
        <f t="shared" si="4"/>
        <v>668.75</v>
      </c>
      <c r="AA8" s="4" t="s">
        <v>10</v>
      </c>
      <c r="AB8" s="11">
        <f>IFERROR(VLOOKUP(AA8,Curr!$B$2:$C$13,2,FALSE),0)</f>
        <v>10.8</v>
      </c>
      <c r="AC8" s="12">
        <f t="shared" si="5"/>
        <v>7222.5000000000009</v>
      </c>
      <c r="AD8" s="12">
        <f t="shared" si="6"/>
        <v>1444.5000000000009</v>
      </c>
      <c r="AE8" s="13">
        <f t="shared" si="7"/>
        <v>0.20000000000000009</v>
      </c>
    </row>
    <row r="9" spans="2:36" x14ac:dyDescent="0.25">
      <c r="B9" s="4"/>
      <c r="C9" s="1" t="s">
        <v>47</v>
      </c>
      <c r="D9" s="1" t="s">
        <v>75</v>
      </c>
      <c r="E9" s="3" t="s">
        <v>77</v>
      </c>
      <c r="F9" s="3"/>
      <c r="G9" s="24"/>
      <c r="H9" s="24"/>
      <c r="J9" s="1" t="s">
        <v>81</v>
      </c>
      <c r="K9" s="4"/>
      <c r="L9" s="4"/>
      <c r="M9" s="4"/>
      <c r="N9" s="4"/>
      <c r="O9" s="4"/>
      <c r="P9" s="33"/>
      <c r="Q9" s="25">
        <v>0</v>
      </c>
      <c r="R9" s="25">
        <v>0</v>
      </c>
      <c r="S9" s="12">
        <f t="shared" si="0"/>
        <v>0</v>
      </c>
      <c r="T9" s="5">
        <v>0</v>
      </c>
      <c r="U9" s="12">
        <f t="shared" si="1"/>
        <v>0</v>
      </c>
      <c r="V9" s="25" t="s">
        <v>10</v>
      </c>
      <c r="W9" s="11">
        <f>IFERROR(VLOOKUP(V9,Curr!$B$2:$C$13,2,FALSE),0)</f>
        <v>10.8</v>
      </c>
      <c r="X9" s="12">
        <f t="shared" si="2"/>
        <v>0</v>
      </c>
      <c r="Y9" s="26">
        <f t="shared" si="3"/>
        <v>0</v>
      </c>
      <c r="Z9" s="12">
        <f t="shared" si="4"/>
        <v>0</v>
      </c>
      <c r="AA9" s="4" t="s">
        <v>10</v>
      </c>
      <c r="AB9" s="11">
        <f>IFERROR(VLOOKUP(AA9,Curr!$B$2:$C$13,2,FALSE),0)</f>
        <v>10.8</v>
      </c>
      <c r="AC9" s="12">
        <f t="shared" si="5"/>
        <v>0</v>
      </c>
      <c r="AD9" s="12">
        <f t="shared" si="6"/>
        <v>0</v>
      </c>
      <c r="AE9" s="13">
        <f t="shared" si="7"/>
        <v>0</v>
      </c>
    </row>
    <row r="10" spans="2:36" x14ac:dyDescent="0.25">
      <c r="B10" s="4"/>
      <c r="C10" s="1" t="s">
        <v>47</v>
      </c>
      <c r="D10" s="1" t="s">
        <v>50</v>
      </c>
      <c r="E10" s="3" t="s">
        <v>77</v>
      </c>
      <c r="F10" s="3" t="s">
        <v>137</v>
      </c>
      <c r="G10" s="24"/>
      <c r="H10" s="24"/>
      <c r="J10" s="1" t="s">
        <v>140</v>
      </c>
      <c r="K10" s="4"/>
      <c r="L10" s="4"/>
      <c r="M10" s="4"/>
      <c r="N10" s="4"/>
      <c r="O10" s="4"/>
      <c r="P10" s="33" t="s">
        <v>141</v>
      </c>
      <c r="Q10" s="25">
        <v>574</v>
      </c>
      <c r="R10" s="25">
        <v>1</v>
      </c>
      <c r="S10" s="12">
        <f t="shared" si="0"/>
        <v>574</v>
      </c>
      <c r="T10" s="5">
        <v>0</v>
      </c>
      <c r="U10" s="12">
        <f t="shared" si="1"/>
        <v>574</v>
      </c>
      <c r="V10" s="25" t="s">
        <v>10</v>
      </c>
      <c r="W10" s="11">
        <f>IFERROR(VLOOKUP(V10,Curr!$B$2:$C$13,2,FALSE),0)</f>
        <v>10.8</v>
      </c>
      <c r="X10" s="12">
        <f t="shared" si="2"/>
        <v>6199.2000000000007</v>
      </c>
      <c r="Y10" s="26">
        <f>Q10/0.85</f>
        <v>675.2941176470589</v>
      </c>
      <c r="Z10" s="12">
        <f t="shared" si="4"/>
        <v>675.2941176470589</v>
      </c>
      <c r="AA10" s="4" t="s">
        <v>10</v>
      </c>
      <c r="AB10" s="11">
        <f>IFERROR(VLOOKUP(AA10,Curr!$B$2:$C$13,2,FALSE),0)</f>
        <v>10.8</v>
      </c>
      <c r="AC10" s="12">
        <f t="shared" si="5"/>
        <v>7293.176470588237</v>
      </c>
      <c r="AD10" s="12">
        <f t="shared" si="6"/>
        <v>1093.9764705882362</v>
      </c>
      <c r="AE10" s="13">
        <f t="shared" si="7"/>
        <v>0.15000000000000011</v>
      </c>
    </row>
    <row r="11" spans="2:36" x14ac:dyDescent="0.25">
      <c r="B11" s="4"/>
      <c r="C11" s="1" t="s">
        <v>47</v>
      </c>
      <c r="D11" s="1" t="s">
        <v>51</v>
      </c>
      <c r="E11" s="3" t="s">
        <v>77</v>
      </c>
      <c r="F11" s="3"/>
      <c r="G11" s="24"/>
      <c r="H11" s="24"/>
      <c r="J11" s="1" t="s">
        <v>87</v>
      </c>
      <c r="K11" s="4"/>
      <c r="L11" s="4"/>
      <c r="M11" s="4"/>
      <c r="N11" s="4"/>
      <c r="O11" s="4"/>
      <c r="P11" s="33"/>
      <c r="Q11" s="25">
        <v>0</v>
      </c>
      <c r="R11" s="25">
        <v>0</v>
      </c>
      <c r="S11" s="12">
        <f t="shared" si="0"/>
        <v>0</v>
      </c>
      <c r="T11" s="5">
        <v>0</v>
      </c>
      <c r="U11" s="12">
        <f t="shared" si="1"/>
        <v>0</v>
      </c>
      <c r="V11" s="25" t="s">
        <v>10</v>
      </c>
      <c r="W11" s="11">
        <f>IFERROR(VLOOKUP(V11,Curr!$B$2:$C$13,2,FALSE),0)</f>
        <v>10.8</v>
      </c>
      <c r="X11" s="12">
        <f t="shared" si="2"/>
        <v>0</v>
      </c>
      <c r="Y11" s="26">
        <f t="shared" si="3"/>
        <v>0</v>
      </c>
      <c r="Z11" s="12">
        <f t="shared" si="4"/>
        <v>0</v>
      </c>
      <c r="AA11" s="4" t="s">
        <v>10</v>
      </c>
      <c r="AB11" s="11">
        <f>IFERROR(VLOOKUP(AA11,Curr!$B$2:$C$13,2,FALSE),0)</f>
        <v>10.8</v>
      </c>
      <c r="AC11" s="12">
        <f t="shared" si="5"/>
        <v>0</v>
      </c>
      <c r="AD11" s="12">
        <f t="shared" si="6"/>
        <v>0</v>
      </c>
      <c r="AE11" s="13">
        <f t="shared" si="7"/>
        <v>0</v>
      </c>
    </row>
    <row r="12" spans="2:36" x14ac:dyDescent="0.25">
      <c r="B12" s="4"/>
      <c r="E12" s="3"/>
      <c r="F12" s="3"/>
      <c r="G12" s="24"/>
      <c r="H12" s="24"/>
      <c r="K12" s="4"/>
      <c r="L12" s="4"/>
      <c r="M12" s="4"/>
      <c r="N12" s="4"/>
      <c r="O12" s="4"/>
      <c r="P12" s="33"/>
      <c r="Q12" s="25"/>
      <c r="R12" s="25"/>
      <c r="S12" s="12">
        <f t="shared" si="0"/>
        <v>0</v>
      </c>
      <c r="T12" s="5">
        <v>0</v>
      </c>
      <c r="U12" s="12">
        <f t="shared" si="1"/>
        <v>0</v>
      </c>
      <c r="V12" s="25" t="s">
        <v>10</v>
      </c>
      <c r="W12" s="11">
        <f>IFERROR(VLOOKUP(V12,Curr!$B$2:$C$13,2,FALSE),0)</f>
        <v>10.8</v>
      </c>
      <c r="X12" s="12">
        <f t="shared" si="2"/>
        <v>0</v>
      </c>
      <c r="Y12" s="26">
        <f t="shared" si="3"/>
        <v>0</v>
      </c>
      <c r="Z12" s="12">
        <f t="shared" si="4"/>
        <v>0</v>
      </c>
      <c r="AA12" s="4" t="s">
        <v>10</v>
      </c>
      <c r="AB12" s="11">
        <f>IFERROR(VLOOKUP(AA12,Curr!$B$2:$C$13,2,FALSE),0)</f>
        <v>10.8</v>
      </c>
      <c r="AC12" s="12">
        <f t="shared" si="5"/>
        <v>0</v>
      </c>
      <c r="AD12" s="12">
        <f t="shared" si="6"/>
        <v>0</v>
      </c>
      <c r="AE12" s="13">
        <f t="shared" si="7"/>
        <v>0</v>
      </c>
    </row>
    <row r="13" spans="2:36" x14ac:dyDescent="0.25">
      <c r="B13" s="4"/>
      <c r="C13" s="1" t="s">
        <v>55</v>
      </c>
      <c r="D13" s="1" t="s">
        <v>75</v>
      </c>
      <c r="E13" s="3" t="s">
        <v>137</v>
      </c>
      <c r="F13" s="3"/>
      <c r="G13" s="24"/>
      <c r="H13" s="24"/>
      <c r="J13" s="1" t="s">
        <v>146</v>
      </c>
      <c r="K13" s="4"/>
      <c r="L13" s="4"/>
      <c r="M13" s="4"/>
      <c r="N13" s="4"/>
      <c r="O13" s="4"/>
      <c r="P13" s="33"/>
      <c r="Q13" s="25">
        <v>0</v>
      </c>
      <c r="R13" s="25">
        <v>0</v>
      </c>
      <c r="S13" s="12">
        <f t="shared" si="0"/>
        <v>0</v>
      </c>
      <c r="T13" s="5">
        <v>0</v>
      </c>
      <c r="U13" s="12">
        <f t="shared" si="1"/>
        <v>0</v>
      </c>
      <c r="V13" s="25" t="s">
        <v>10</v>
      </c>
      <c r="W13" s="11">
        <f>IFERROR(VLOOKUP(V13,Curr!$B$2:$C$13,2,FALSE),0)</f>
        <v>10.8</v>
      </c>
      <c r="X13" s="12">
        <f t="shared" si="2"/>
        <v>0</v>
      </c>
      <c r="Y13" s="26">
        <f t="shared" si="3"/>
        <v>0</v>
      </c>
      <c r="Z13" s="12">
        <f t="shared" si="4"/>
        <v>0</v>
      </c>
      <c r="AA13" s="4" t="s">
        <v>10</v>
      </c>
      <c r="AB13" s="11">
        <f>IFERROR(VLOOKUP(AA13,Curr!$B$2:$C$13,2,FALSE),0)</f>
        <v>10.8</v>
      </c>
      <c r="AC13" s="12">
        <f t="shared" si="5"/>
        <v>0</v>
      </c>
      <c r="AD13" s="12">
        <f t="shared" si="6"/>
        <v>0</v>
      </c>
      <c r="AE13" s="13">
        <f t="shared" si="7"/>
        <v>0</v>
      </c>
    </row>
    <row r="14" spans="2:36" x14ac:dyDescent="0.25">
      <c r="B14" s="4"/>
      <c r="C14" s="1" t="s">
        <v>55</v>
      </c>
      <c r="D14" s="1" t="s">
        <v>50</v>
      </c>
      <c r="E14" s="3" t="s">
        <v>137</v>
      </c>
      <c r="F14" s="3" t="s">
        <v>83</v>
      </c>
      <c r="G14" s="24"/>
      <c r="H14" s="24"/>
      <c r="J14" s="1" t="s">
        <v>138</v>
      </c>
      <c r="K14" s="4"/>
      <c r="L14" s="4"/>
      <c r="M14" s="4"/>
      <c r="N14" s="4"/>
      <c r="O14" s="4"/>
      <c r="P14" s="33" t="s">
        <v>142</v>
      </c>
      <c r="Q14" s="25">
        <v>2130</v>
      </c>
      <c r="R14" s="25">
        <v>1</v>
      </c>
      <c r="S14" s="12">
        <f t="shared" si="0"/>
        <v>2130</v>
      </c>
      <c r="T14" s="5">
        <v>0</v>
      </c>
      <c r="U14" s="12">
        <f t="shared" si="1"/>
        <v>2130</v>
      </c>
      <c r="V14" s="25" t="s">
        <v>10</v>
      </c>
      <c r="W14" s="11">
        <f>IFERROR(VLOOKUP(V14,Curr!$B$2:$C$13,2,FALSE),0)</f>
        <v>10.8</v>
      </c>
      <c r="X14" s="12">
        <f t="shared" si="2"/>
        <v>23004</v>
      </c>
      <c r="Y14" s="26">
        <f>Q14/0.85</f>
        <v>2505.8823529411766</v>
      </c>
      <c r="Z14" s="12">
        <f t="shared" si="4"/>
        <v>2505.8823529411766</v>
      </c>
      <c r="AA14" s="4" t="s">
        <v>10</v>
      </c>
      <c r="AB14" s="11">
        <f>IFERROR(VLOOKUP(AA14,Curr!$B$2:$C$13,2,FALSE),0)</f>
        <v>10.8</v>
      </c>
      <c r="AC14" s="12">
        <f t="shared" si="5"/>
        <v>27063.52941176471</v>
      </c>
      <c r="AD14" s="12">
        <f t="shared" si="6"/>
        <v>4059.5294117647099</v>
      </c>
      <c r="AE14" s="13">
        <f t="shared" si="7"/>
        <v>0.15000000000000013</v>
      </c>
    </row>
    <row r="15" spans="2:36" x14ac:dyDescent="0.25">
      <c r="B15" s="4"/>
      <c r="C15" s="1" t="s">
        <v>55</v>
      </c>
      <c r="D15" s="1" t="s">
        <v>51</v>
      </c>
      <c r="E15" s="3" t="s">
        <v>137</v>
      </c>
      <c r="F15" s="3"/>
      <c r="G15" s="24"/>
      <c r="H15" s="24"/>
      <c r="J15" s="1" t="s">
        <v>87</v>
      </c>
      <c r="K15" s="4"/>
      <c r="L15" s="4"/>
      <c r="M15" s="4"/>
      <c r="N15" s="4"/>
      <c r="O15" s="4"/>
      <c r="P15" s="33"/>
      <c r="Q15" s="25">
        <v>0</v>
      </c>
      <c r="R15" s="25">
        <v>0</v>
      </c>
      <c r="S15" s="12">
        <f t="shared" si="0"/>
        <v>0</v>
      </c>
      <c r="T15" s="5">
        <v>0</v>
      </c>
      <c r="U15" s="12">
        <f t="shared" si="1"/>
        <v>0</v>
      </c>
      <c r="V15" s="25" t="s">
        <v>10</v>
      </c>
      <c r="W15" s="11">
        <f>IFERROR(VLOOKUP(V15,Curr!$B$2:$C$13,2,FALSE),0)</f>
        <v>10.8</v>
      </c>
      <c r="X15" s="12">
        <f t="shared" si="2"/>
        <v>0</v>
      </c>
      <c r="Y15" s="26">
        <f t="shared" si="3"/>
        <v>0</v>
      </c>
      <c r="Z15" s="12">
        <f t="shared" si="4"/>
        <v>0</v>
      </c>
      <c r="AA15" s="4" t="s">
        <v>10</v>
      </c>
      <c r="AB15" s="11">
        <f>IFERROR(VLOOKUP(AA15,Curr!$B$2:$C$13,2,FALSE),0)</f>
        <v>10.8</v>
      </c>
      <c r="AC15" s="12">
        <f t="shared" si="5"/>
        <v>0</v>
      </c>
      <c r="AD15" s="12">
        <f t="shared" si="6"/>
        <v>0</v>
      </c>
      <c r="AE15" s="13">
        <f t="shared" si="7"/>
        <v>0</v>
      </c>
    </row>
    <row r="16" spans="2:36" x14ac:dyDescent="0.25">
      <c r="B16" s="4"/>
      <c r="E16" s="3"/>
      <c r="F16" s="3"/>
      <c r="G16" s="24"/>
      <c r="H16" s="24"/>
      <c r="K16" s="4"/>
      <c r="L16" s="4"/>
      <c r="M16" s="4"/>
      <c r="N16" s="4"/>
      <c r="O16" s="4"/>
      <c r="P16" s="33"/>
      <c r="Q16" s="25"/>
      <c r="R16" s="25"/>
      <c r="S16" s="12">
        <f t="shared" si="0"/>
        <v>0</v>
      </c>
      <c r="T16" s="5">
        <v>0</v>
      </c>
      <c r="U16" s="12">
        <f t="shared" si="1"/>
        <v>0</v>
      </c>
      <c r="V16" s="25" t="s">
        <v>10</v>
      </c>
      <c r="W16" s="11">
        <f>IFERROR(VLOOKUP(V16,Curr!$B$2:$C$13,2,FALSE),0)</f>
        <v>10.8</v>
      </c>
      <c r="X16" s="12">
        <f t="shared" si="2"/>
        <v>0</v>
      </c>
      <c r="Y16" s="26">
        <f t="shared" si="3"/>
        <v>0</v>
      </c>
      <c r="Z16" s="12">
        <f t="shared" si="4"/>
        <v>0</v>
      </c>
      <c r="AA16" s="4" t="s">
        <v>10</v>
      </c>
      <c r="AB16" s="11">
        <f>IFERROR(VLOOKUP(AA16,Curr!$B$2:$C$13,2,FALSE),0)</f>
        <v>10.8</v>
      </c>
      <c r="AC16" s="12">
        <f t="shared" si="5"/>
        <v>0</v>
      </c>
      <c r="AD16" s="12">
        <f t="shared" si="6"/>
        <v>0</v>
      </c>
      <c r="AE16" s="13">
        <f t="shared" si="7"/>
        <v>0</v>
      </c>
    </row>
    <row r="17" spans="2:31" x14ac:dyDescent="0.25">
      <c r="B17" s="4"/>
      <c r="C17" s="1" t="s">
        <v>57</v>
      </c>
      <c r="D17" s="1" t="s">
        <v>56</v>
      </c>
      <c r="E17" s="3" t="s">
        <v>82</v>
      </c>
      <c r="F17" s="3"/>
      <c r="G17" s="24"/>
      <c r="H17" s="24"/>
      <c r="J17" s="1" t="s">
        <v>143</v>
      </c>
      <c r="K17" s="4"/>
      <c r="L17" s="4"/>
      <c r="M17" s="4"/>
      <c r="N17" s="4"/>
      <c r="O17" s="4"/>
      <c r="P17" s="33" t="s">
        <v>72</v>
      </c>
      <c r="Q17" s="25">
        <v>46</v>
      </c>
      <c r="R17" s="25">
        <v>4</v>
      </c>
      <c r="S17" s="12">
        <f t="shared" si="0"/>
        <v>184</v>
      </c>
      <c r="T17" s="5">
        <v>0.2</v>
      </c>
      <c r="U17" s="12">
        <f t="shared" si="1"/>
        <v>147.20000000000002</v>
      </c>
      <c r="V17" s="25" t="s">
        <v>10</v>
      </c>
      <c r="W17" s="11">
        <f>IFERROR(VLOOKUP(V17,Curr!$B$2:$C$13,2,FALSE),0)</f>
        <v>10.8</v>
      </c>
      <c r="X17" s="12">
        <f t="shared" si="2"/>
        <v>1589.7600000000002</v>
      </c>
      <c r="Y17" s="26">
        <f t="shared" si="3"/>
        <v>46</v>
      </c>
      <c r="Z17" s="12">
        <f t="shared" si="4"/>
        <v>184</v>
      </c>
      <c r="AA17" s="4" t="s">
        <v>10</v>
      </c>
      <c r="AB17" s="11">
        <f>IFERROR(VLOOKUP(AA17,Curr!$B$2:$C$13,2,FALSE),0)</f>
        <v>10.8</v>
      </c>
      <c r="AC17" s="12">
        <f t="shared" si="5"/>
        <v>1987.2</v>
      </c>
      <c r="AD17" s="12">
        <f t="shared" si="6"/>
        <v>397.43999999999983</v>
      </c>
      <c r="AE17" s="13">
        <f t="shared" si="7"/>
        <v>0.1999999999999999</v>
      </c>
    </row>
    <row r="18" spans="2:31" x14ac:dyDescent="0.25">
      <c r="B18" s="4"/>
      <c r="C18" s="1" t="s">
        <v>57</v>
      </c>
      <c r="D18" s="1" t="s">
        <v>51</v>
      </c>
      <c r="E18" s="3" t="s">
        <v>82</v>
      </c>
      <c r="F18" s="3"/>
      <c r="G18" s="24"/>
      <c r="H18" s="24"/>
      <c r="J18" s="1" t="s">
        <v>87</v>
      </c>
      <c r="K18" s="4"/>
      <c r="L18" s="4"/>
      <c r="M18" s="4"/>
      <c r="N18" s="4"/>
      <c r="O18" s="4"/>
      <c r="P18" s="33"/>
      <c r="Q18" s="25">
        <v>0</v>
      </c>
      <c r="R18" s="25">
        <v>0</v>
      </c>
      <c r="S18" s="12">
        <f t="shared" si="0"/>
        <v>0</v>
      </c>
      <c r="T18" s="5">
        <v>0</v>
      </c>
      <c r="U18" s="12">
        <f t="shared" si="1"/>
        <v>0</v>
      </c>
      <c r="V18" s="25" t="s">
        <v>10</v>
      </c>
      <c r="W18" s="11">
        <f>IFERROR(VLOOKUP(V18,Curr!$B$2:$C$13,2,FALSE),0)</f>
        <v>10.8</v>
      </c>
      <c r="X18" s="12">
        <f t="shared" si="2"/>
        <v>0</v>
      </c>
      <c r="Y18" s="26">
        <f t="shared" si="3"/>
        <v>0</v>
      </c>
      <c r="Z18" s="12">
        <f t="shared" si="4"/>
        <v>0</v>
      </c>
      <c r="AA18" s="4" t="s">
        <v>10</v>
      </c>
      <c r="AB18" s="11">
        <f>IFERROR(VLOOKUP(AA18,Curr!$B$2:$C$13,2,FALSE),0)</f>
        <v>10.8</v>
      </c>
      <c r="AC18" s="12">
        <f t="shared" si="5"/>
        <v>0</v>
      </c>
      <c r="AD18" s="12">
        <f t="shared" si="6"/>
        <v>0</v>
      </c>
      <c r="AE18" s="13">
        <f t="shared" si="7"/>
        <v>0</v>
      </c>
    </row>
    <row r="19" spans="2:31" x14ac:dyDescent="0.25">
      <c r="B19" s="4"/>
      <c r="C19" s="1" t="s">
        <v>57</v>
      </c>
      <c r="D19" s="1" t="s">
        <v>56</v>
      </c>
      <c r="E19" s="3" t="s">
        <v>82</v>
      </c>
      <c r="F19" s="3"/>
      <c r="G19" s="24"/>
      <c r="H19" s="24"/>
      <c r="J19" s="1" t="s">
        <v>69</v>
      </c>
      <c r="K19" s="4"/>
      <c r="L19" s="4"/>
      <c r="M19" s="4"/>
      <c r="N19" s="4"/>
      <c r="O19" s="4"/>
      <c r="P19" s="33" t="s">
        <v>70</v>
      </c>
      <c r="Q19" s="25">
        <v>204</v>
      </c>
      <c r="R19" s="25">
        <v>4</v>
      </c>
      <c r="S19" s="12">
        <f t="shared" si="0"/>
        <v>816</v>
      </c>
      <c r="T19" s="5">
        <v>0.25</v>
      </c>
      <c r="U19" s="12">
        <f t="shared" si="1"/>
        <v>612</v>
      </c>
      <c r="V19" s="25" t="s">
        <v>10</v>
      </c>
      <c r="W19" s="11">
        <f>IFERROR(VLOOKUP(V19,Curr!$B$2:$C$13,2,FALSE),0)</f>
        <v>10.8</v>
      </c>
      <c r="X19" s="12">
        <f t="shared" si="2"/>
        <v>6609.6</v>
      </c>
      <c r="Y19" s="26">
        <f t="shared" si="3"/>
        <v>204</v>
      </c>
      <c r="Z19" s="12">
        <f t="shared" si="4"/>
        <v>816</v>
      </c>
      <c r="AA19" s="4" t="s">
        <v>10</v>
      </c>
      <c r="AB19" s="11">
        <f>IFERROR(VLOOKUP(AA19,Curr!$B$2:$C$13,2,FALSE),0)</f>
        <v>10.8</v>
      </c>
      <c r="AC19" s="12">
        <f t="shared" si="5"/>
        <v>8812.8000000000011</v>
      </c>
      <c r="AD19" s="12">
        <f t="shared" si="6"/>
        <v>2203.2000000000007</v>
      </c>
      <c r="AE19" s="13">
        <f t="shared" si="7"/>
        <v>0.25000000000000006</v>
      </c>
    </row>
    <row r="20" spans="2:31" x14ac:dyDescent="0.25">
      <c r="B20" s="4"/>
      <c r="E20" s="3"/>
      <c r="F20" s="3"/>
      <c r="G20" s="24"/>
      <c r="H20" s="24"/>
      <c r="K20" s="4"/>
      <c r="L20" s="4"/>
      <c r="M20" s="4"/>
      <c r="N20" s="4"/>
      <c r="O20" s="4"/>
      <c r="P20" s="33"/>
      <c r="Q20" s="25"/>
      <c r="R20" s="25"/>
      <c r="S20" s="12">
        <f t="shared" si="0"/>
        <v>0</v>
      </c>
      <c r="T20" s="5">
        <v>0</v>
      </c>
      <c r="U20" s="12">
        <f t="shared" si="1"/>
        <v>0</v>
      </c>
      <c r="V20" s="25" t="s">
        <v>10</v>
      </c>
      <c r="W20" s="11">
        <f>IFERROR(VLOOKUP(V20,Curr!$B$2:$C$13,2,FALSE),0)</f>
        <v>10.8</v>
      </c>
      <c r="X20" s="12">
        <f t="shared" si="2"/>
        <v>0</v>
      </c>
      <c r="Y20" s="26">
        <f t="shared" si="3"/>
        <v>0</v>
      </c>
      <c r="Z20" s="12">
        <f t="shared" si="4"/>
        <v>0</v>
      </c>
      <c r="AA20" s="4" t="s">
        <v>10</v>
      </c>
      <c r="AB20" s="11">
        <f>IFERROR(VLOOKUP(AA20,Curr!$B$2:$C$13,2,FALSE),0)</f>
        <v>10.8</v>
      </c>
      <c r="AC20" s="12">
        <f t="shared" si="5"/>
        <v>0</v>
      </c>
      <c r="AD20" s="12">
        <f t="shared" si="6"/>
        <v>0</v>
      </c>
      <c r="AE20" s="13">
        <f t="shared" si="7"/>
        <v>0</v>
      </c>
    </row>
    <row r="21" spans="2:31" x14ac:dyDescent="0.25">
      <c r="B21" s="4"/>
      <c r="C21" s="1" t="s">
        <v>60</v>
      </c>
      <c r="D21" s="1" t="s">
        <v>75</v>
      </c>
      <c r="E21" s="3" t="s">
        <v>83</v>
      </c>
      <c r="F21" s="3"/>
      <c r="G21" s="24"/>
      <c r="H21" s="24"/>
      <c r="J21" s="1" t="s">
        <v>89</v>
      </c>
      <c r="K21" s="4"/>
      <c r="L21" s="4"/>
      <c r="M21" s="4"/>
      <c r="N21" s="4"/>
      <c r="O21" s="4"/>
      <c r="P21" s="33"/>
      <c r="Q21" s="25">
        <v>0</v>
      </c>
      <c r="R21" s="25">
        <v>0</v>
      </c>
      <c r="S21" s="12">
        <f t="shared" si="0"/>
        <v>0</v>
      </c>
      <c r="T21" s="5">
        <v>0</v>
      </c>
      <c r="U21" s="12">
        <f t="shared" si="1"/>
        <v>0</v>
      </c>
      <c r="V21" s="25" t="s">
        <v>10</v>
      </c>
      <c r="W21" s="11">
        <f>IFERROR(VLOOKUP(V21,Curr!$B$2:$C$13,2,FALSE),0)</f>
        <v>10.8</v>
      </c>
      <c r="X21" s="12">
        <f t="shared" si="2"/>
        <v>0</v>
      </c>
      <c r="Y21" s="26">
        <f t="shared" si="3"/>
        <v>0</v>
      </c>
      <c r="Z21" s="12">
        <f t="shared" si="4"/>
        <v>0</v>
      </c>
      <c r="AA21" s="4" t="s">
        <v>10</v>
      </c>
      <c r="AB21" s="11">
        <f>IFERROR(VLOOKUP(AA21,Curr!$B$2:$C$13,2,FALSE),0)</f>
        <v>10.8</v>
      </c>
      <c r="AC21" s="12">
        <f t="shared" si="5"/>
        <v>0</v>
      </c>
      <c r="AD21" s="12">
        <f t="shared" si="6"/>
        <v>0</v>
      </c>
      <c r="AE21" s="13">
        <f t="shared" si="7"/>
        <v>0</v>
      </c>
    </row>
    <row r="22" spans="2:31" x14ac:dyDescent="0.25">
      <c r="B22" s="4"/>
      <c r="C22" s="1" t="s">
        <v>60</v>
      </c>
      <c r="D22" s="1" t="s">
        <v>50</v>
      </c>
      <c r="E22" s="3" t="s">
        <v>83</v>
      </c>
      <c r="F22" s="3" t="s">
        <v>59</v>
      </c>
      <c r="G22" s="24"/>
      <c r="H22" s="24"/>
      <c r="J22" s="1" t="s">
        <v>144</v>
      </c>
      <c r="K22" s="4"/>
      <c r="L22" s="4"/>
      <c r="M22" s="4"/>
      <c r="N22" s="4"/>
      <c r="O22" s="4"/>
      <c r="P22" s="33" t="s">
        <v>145</v>
      </c>
      <c r="Q22" s="25">
        <v>1634</v>
      </c>
      <c r="R22" s="25">
        <v>1</v>
      </c>
      <c r="S22" s="12">
        <f t="shared" si="0"/>
        <v>1634</v>
      </c>
      <c r="T22" s="5">
        <v>0</v>
      </c>
      <c r="U22" s="12">
        <f t="shared" si="1"/>
        <v>1634</v>
      </c>
      <c r="V22" s="25" t="s">
        <v>10</v>
      </c>
      <c r="W22" s="11">
        <f>IFERROR(VLOOKUP(V22,Curr!$B$2:$C$13,2,FALSE),0)</f>
        <v>10.8</v>
      </c>
      <c r="X22" s="12">
        <f t="shared" si="2"/>
        <v>17647.2</v>
      </c>
      <c r="Y22" s="26">
        <f>Q22/0.85</f>
        <v>1922.3529411764707</v>
      </c>
      <c r="Z22" s="12">
        <f t="shared" si="4"/>
        <v>1922.3529411764707</v>
      </c>
      <c r="AA22" s="4" t="s">
        <v>10</v>
      </c>
      <c r="AB22" s="11">
        <f>IFERROR(VLOOKUP(AA22,Curr!$B$2:$C$13,2,FALSE),0)</f>
        <v>10.8</v>
      </c>
      <c r="AC22" s="12">
        <f t="shared" si="5"/>
        <v>20761.411764705885</v>
      </c>
      <c r="AD22" s="12">
        <f t="shared" si="6"/>
        <v>3114.211764705884</v>
      </c>
      <c r="AE22" s="13">
        <f t="shared" si="7"/>
        <v>0.15000000000000005</v>
      </c>
    </row>
    <row r="23" spans="2:31" x14ac:dyDescent="0.25">
      <c r="B23" s="4"/>
      <c r="C23" s="1" t="s">
        <v>60</v>
      </c>
      <c r="D23" s="1" t="s">
        <v>51</v>
      </c>
      <c r="E23" s="3" t="s">
        <v>83</v>
      </c>
      <c r="F23" s="3"/>
      <c r="G23" s="24"/>
      <c r="H23" s="24"/>
      <c r="J23" s="1" t="s">
        <v>53</v>
      </c>
      <c r="K23" s="4"/>
      <c r="L23" s="4"/>
      <c r="M23" s="4"/>
      <c r="N23" s="4"/>
      <c r="O23" s="4"/>
      <c r="P23" s="33"/>
      <c r="Q23" s="25">
        <v>0</v>
      </c>
      <c r="R23" s="25">
        <v>0</v>
      </c>
      <c r="S23" s="12">
        <f t="shared" si="0"/>
        <v>0</v>
      </c>
      <c r="T23" s="5">
        <v>0</v>
      </c>
      <c r="U23" s="12">
        <f t="shared" si="1"/>
        <v>0</v>
      </c>
      <c r="V23" s="25" t="s">
        <v>10</v>
      </c>
      <c r="W23" s="11">
        <f>IFERROR(VLOOKUP(V23,Curr!$B$2:$C$13,2,FALSE),0)</f>
        <v>10.8</v>
      </c>
      <c r="X23" s="12">
        <f t="shared" si="2"/>
        <v>0</v>
      </c>
      <c r="Y23" s="26">
        <f t="shared" si="3"/>
        <v>0</v>
      </c>
      <c r="Z23" s="12">
        <f t="shared" si="4"/>
        <v>0</v>
      </c>
      <c r="AA23" s="4" t="s">
        <v>10</v>
      </c>
      <c r="AB23" s="11">
        <f>IFERROR(VLOOKUP(AA23,Curr!$B$2:$C$13,2,FALSE),0)</f>
        <v>10.8</v>
      </c>
      <c r="AC23" s="12">
        <f t="shared" si="5"/>
        <v>0</v>
      </c>
      <c r="AD23" s="12">
        <f t="shared" si="6"/>
        <v>0</v>
      </c>
      <c r="AE23" s="13">
        <f t="shared" si="7"/>
        <v>0</v>
      </c>
    </row>
    <row r="24" spans="2:31" x14ac:dyDescent="0.25">
      <c r="B24" s="4"/>
      <c r="E24" s="3"/>
      <c r="F24" s="3"/>
      <c r="G24" s="24"/>
      <c r="H24" s="24"/>
      <c r="K24" s="4"/>
      <c r="L24" s="4"/>
      <c r="M24" s="4"/>
      <c r="N24" s="4"/>
      <c r="O24" s="4"/>
      <c r="P24" s="33"/>
      <c r="Q24" s="25"/>
      <c r="R24" s="25"/>
      <c r="S24" s="12">
        <f t="shared" si="0"/>
        <v>0</v>
      </c>
      <c r="T24" s="5">
        <v>0</v>
      </c>
      <c r="U24" s="12">
        <f t="shared" si="1"/>
        <v>0</v>
      </c>
      <c r="V24" s="25" t="s">
        <v>10</v>
      </c>
      <c r="W24" s="11">
        <f>IFERROR(VLOOKUP(V24,Curr!$B$2:$C$13,2,FALSE),0)</f>
        <v>10.8</v>
      </c>
      <c r="X24" s="12">
        <f t="shared" si="2"/>
        <v>0</v>
      </c>
      <c r="Y24" s="26">
        <f t="shared" si="3"/>
        <v>0</v>
      </c>
      <c r="Z24" s="12">
        <f t="shared" si="4"/>
        <v>0</v>
      </c>
      <c r="AA24" s="4" t="s">
        <v>10</v>
      </c>
      <c r="AB24" s="11">
        <f>IFERROR(VLOOKUP(AA24,Curr!$B$2:$C$13,2,FALSE),0)</f>
        <v>10.8</v>
      </c>
      <c r="AC24" s="12">
        <f t="shared" si="5"/>
        <v>0</v>
      </c>
      <c r="AD24" s="12">
        <f t="shared" si="6"/>
        <v>0</v>
      </c>
      <c r="AE24" s="13">
        <f t="shared" si="7"/>
        <v>0</v>
      </c>
    </row>
    <row r="25" spans="2:31" x14ac:dyDescent="0.25">
      <c r="B25" s="4"/>
      <c r="C25" s="1" t="s">
        <v>62</v>
      </c>
      <c r="D25" s="1" t="s">
        <v>56</v>
      </c>
      <c r="E25" s="3" t="s">
        <v>91</v>
      </c>
      <c r="F25" s="3"/>
      <c r="G25" s="24"/>
      <c r="H25" s="24"/>
      <c r="J25" s="1" t="s">
        <v>149</v>
      </c>
      <c r="K25" s="4"/>
      <c r="L25" s="4"/>
      <c r="M25" s="4"/>
      <c r="N25" s="4"/>
      <c r="O25" s="4"/>
      <c r="P25" s="33" t="s">
        <v>71</v>
      </c>
      <c r="Q25" s="25">
        <v>35</v>
      </c>
      <c r="R25" s="25">
        <v>4</v>
      </c>
      <c r="S25" s="12">
        <f t="shared" si="0"/>
        <v>140</v>
      </c>
      <c r="T25" s="5">
        <v>0.2</v>
      </c>
      <c r="U25" s="12">
        <f t="shared" si="1"/>
        <v>112</v>
      </c>
      <c r="V25" s="25" t="s">
        <v>10</v>
      </c>
      <c r="W25" s="11">
        <f>IFERROR(VLOOKUP(V25,Curr!$B$2:$C$13,2,FALSE),0)</f>
        <v>10.8</v>
      </c>
      <c r="X25" s="12">
        <f t="shared" si="2"/>
        <v>1209.6000000000001</v>
      </c>
      <c r="Y25" s="26">
        <f t="shared" si="3"/>
        <v>35</v>
      </c>
      <c r="Z25" s="12">
        <f t="shared" si="4"/>
        <v>140</v>
      </c>
      <c r="AA25" s="4" t="s">
        <v>10</v>
      </c>
      <c r="AB25" s="11">
        <f>IFERROR(VLOOKUP(AA25,Curr!$B$2:$C$13,2,FALSE),0)</f>
        <v>10.8</v>
      </c>
      <c r="AC25" s="12">
        <f t="shared" si="5"/>
        <v>1512</v>
      </c>
      <c r="AD25" s="12">
        <f t="shared" si="6"/>
        <v>302.39999999999986</v>
      </c>
      <c r="AE25" s="13">
        <f t="shared" si="7"/>
        <v>0.1999999999999999</v>
      </c>
    </row>
    <row r="26" spans="2:31" x14ac:dyDescent="0.25">
      <c r="B26" s="4"/>
      <c r="C26" s="1" t="s">
        <v>62</v>
      </c>
      <c r="D26" s="1" t="s">
        <v>51</v>
      </c>
      <c r="E26" s="3" t="s">
        <v>91</v>
      </c>
      <c r="F26" s="3"/>
      <c r="G26" s="24"/>
      <c r="H26" s="24"/>
      <c r="J26" s="1" t="s">
        <v>53</v>
      </c>
      <c r="K26" s="4"/>
      <c r="L26" s="4"/>
      <c r="M26" s="4"/>
      <c r="N26" s="4"/>
      <c r="O26" s="4"/>
      <c r="P26" s="33"/>
      <c r="Q26" s="25">
        <v>0</v>
      </c>
      <c r="R26" s="25">
        <v>0</v>
      </c>
      <c r="S26" s="12">
        <f t="shared" si="0"/>
        <v>0</v>
      </c>
      <c r="T26" s="5">
        <v>0</v>
      </c>
      <c r="U26" s="12">
        <f t="shared" si="1"/>
        <v>0</v>
      </c>
      <c r="V26" s="25" t="s">
        <v>10</v>
      </c>
      <c r="W26" s="11">
        <f>IFERROR(VLOOKUP(V26,Curr!$B$2:$C$13,2,FALSE),0)</f>
        <v>10.8</v>
      </c>
      <c r="X26" s="12">
        <f t="shared" si="2"/>
        <v>0</v>
      </c>
      <c r="Y26" s="26">
        <f t="shared" si="3"/>
        <v>0</v>
      </c>
      <c r="Z26" s="12">
        <f t="shared" si="4"/>
        <v>0</v>
      </c>
      <c r="AA26" s="4" t="s">
        <v>10</v>
      </c>
      <c r="AB26" s="11">
        <f>IFERROR(VLOOKUP(AA26,Curr!$B$2:$C$13,2,FALSE),0)</f>
        <v>10.8</v>
      </c>
      <c r="AC26" s="12">
        <f t="shared" si="5"/>
        <v>0</v>
      </c>
      <c r="AD26" s="12">
        <f t="shared" si="6"/>
        <v>0</v>
      </c>
      <c r="AE26" s="13">
        <f t="shared" si="7"/>
        <v>0</v>
      </c>
    </row>
    <row r="27" spans="2:31" x14ac:dyDescent="0.25">
      <c r="B27" s="4"/>
      <c r="C27" s="1" t="s">
        <v>62</v>
      </c>
      <c r="D27" s="1" t="s">
        <v>56</v>
      </c>
      <c r="E27" s="3" t="s">
        <v>91</v>
      </c>
      <c r="F27" s="3"/>
      <c r="G27" s="24"/>
      <c r="H27" s="24"/>
      <c r="J27" s="1" t="s">
        <v>150</v>
      </c>
      <c r="K27" s="4"/>
      <c r="L27" s="4"/>
      <c r="M27" s="4"/>
      <c r="N27" s="4"/>
      <c r="O27" s="4"/>
      <c r="P27" s="33" t="s">
        <v>73</v>
      </c>
      <c r="Q27" s="25">
        <v>127</v>
      </c>
      <c r="R27" s="25">
        <v>4</v>
      </c>
      <c r="S27" s="12">
        <f t="shared" si="0"/>
        <v>508</v>
      </c>
      <c r="T27" s="5">
        <v>0.25</v>
      </c>
      <c r="U27" s="12">
        <f t="shared" si="1"/>
        <v>381</v>
      </c>
      <c r="V27" s="25" t="s">
        <v>10</v>
      </c>
      <c r="W27" s="11">
        <f>IFERROR(VLOOKUP(V27,Curr!$B$2:$C$13,2,FALSE),0)</f>
        <v>10.8</v>
      </c>
      <c r="X27" s="12">
        <f t="shared" si="2"/>
        <v>4114.8</v>
      </c>
      <c r="Y27" s="26">
        <f t="shared" si="3"/>
        <v>127</v>
      </c>
      <c r="Z27" s="12">
        <f t="shared" si="4"/>
        <v>508</v>
      </c>
      <c r="AA27" s="4" t="s">
        <v>10</v>
      </c>
      <c r="AB27" s="11">
        <f>IFERROR(VLOOKUP(AA27,Curr!$B$2:$C$13,2,FALSE),0)</f>
        <v>10.8</v>
      </c>
      <c r="AC27" s="12">
        <f t="shared" si="5"/>
        <v>5486.4000000000005</v>
      </c>
      <c r="AD27" s="12">
        <f t="shared" si="6"/>
        <v>1371.6000000000004</v>
      </c>
      <c r="AE27" s="13">
        <f t="shared" si="7"/>
        <v>0.25000000000000006</v>
      </c>
    </row>
    <row r="28" spans="2:31" x14ac:dyDescent="0.25">
      <c r="B28" s="4"/>
      <c r="E28" s="3"/>
      <c r="F28" s="3"/>
      <c r="G28" s="24"/>
      <c r="H28" s="24"/>
      <c r="K28" s="4"/>
      <c r="L28" s="4"/>
      <c r="M28" s="4"/>
      <c r="N28" s="4"/>
      <c r="O28" s="4"/>
      <c r="P28" s="33"/>
      <c r="Q28" s="25"/>
      <c r="R28" s="25"/>
      <c r="S28" s="12">
        <f t="shared" ref="S28" si="8">+Q28*R28</f>
        <v>0</v>
      </c>
      <c r="T28" s="5">
        <v>0</v>
      </c>
      <c r="U28" s="12">
        <f t="shared" ref="U28" si="9">S28*(1-T28)</f>
        <v>0</v>
      </c>
      <c r="V28" s="25" t="s">
        <v>10</v>
      </c>
      <c r="W28" s="11">
        <f>IFERROR(VLOOKUP(V28,Curr!$B$2:$C$13,2,FALSE),0)</f>
        <v>10.8</v>
      </c>
      <c r="X28" s="12">
        <f t="shared" ref="X28" si="10">U28*W28</f>
        <v>0</v>
      </c>
      <c r="Y28" s="26">
        <f t="shared" ref="Y28" si="11">Q28</f>
        <v>0</v>
      </c>
      <c r="Z28" s="12">
        <f t="shared" ref="Z28" si="12">+Y28*R28</f>
        <v>0</v>
      </c>
      <c r="AA28" s="4" t="s">
        <v>10</v>
      </c>
      <c r="AB28" s="11">
        <f>IFERROR(VLOOKUP(AA28,Curr!$B$2:$C$13,2,FALSE),0)</f>
        <v>10.8</v>
      </c>
      <c r="AC28" s="12">
        <f t="shared" ref="AC28" si="13">+Y28*AB28*R28</f>
        <v>0</v>
      </c>
      <c r="AD28" s="12">
        <f t="shared" ref="AD28" si="14">+AC28-X28</f>
        <v>0</v>
      </c>
      <c r="AE28" s="13">
        <f t="shared" ref="AE28" si="15">IFERROR(AD28/AC28,0)</f>
        <v>0</v>
      </c>
    </row>
    <row r="29" spans="2:31" x14ac:dyDescent="0.25">
      <c r="B29" s="4"/>
      <c r="C29" s="1" t="s">
        <v>65</v>
      </c>
      <c r="D29" s="1" t="s">
        <v>56</v>
      </c>
      <c r="E29" s="3" t="s">
        <v>58</v>
      </c>
      <c r="F29" s="3"/>
      <c r="G29" s="24"/>
      <c r="H29" s="24"/>
      <c r="J29" s="1" t="s">
        <v>147</v>
      </c>
      <c r="K29" s="4"/>
      <c r="L29" s="4"/>
      <c r="M29" s="4"/>
      <c r="N29" s="4"/>
      <c r="O29" s="4"/>
      <c r="P29" s="33" t="s">
        <v>148</v>
      </c>
      <c r="Q29" s="25">
        <v>167</v>
      </c>
      <c r="R29" s="25">
        <v>4</v>
      </c>
      <c r="S29" s="12">
        <f t="shared" si="0"/>
        <v>668</v>
      </c>
      <c r="T29" s="5">
        <v>0.2</v>
      </c>
      <c r="U29" s="12">
        <f t="shared" si="1"/>
        <v>534.4</v>
      </c>
      <c r="V29" s="25" t="s">
        <v>10</v>
      </c>
      <c r="W29" s="11">
        <f>IFERROR(VLOOKUP(V29,Curr!$B$2:$C$13,2,FALSE),0)</f>
        <v>10.8</v>
      </c>
      <c r="X29" s="12">
        <f t="shared" si="2"/>
        <v>5771.52</v>
      </c>
      <c r="Y29" s="26">
        <f t="shared" si="3"/>
        <v>167</v>
      </c>
      <c r="Z29" s="12">
        <f t="shared" si="4"/>
        <v>668</v>
      </c>
      <c r="AA29" s="4" t="s">
        <v>10</v>
      </c>
      <c r="AB29" s="11">
        <f>IFERROR(VLOOKUP(AA29,Curr!$B$2:$C$13,2,FALSE),0)</f>
        <v>10.8</v>
      </c>
      <c r="AC29" s="12">
        <f t="shared" si="5"/>
        <v>7214.4000000000005</v>
      </c>
      <c r="AD29" s="12">
        <f t="shared" si="6"/>
        <v>1442.88</v>
      </c>
      <c r="AE29" s="13">
        <f t="shared" si="7"/>
        <v>0.2</v>
      </c>
    </row>
    <row r="30" spans="2:31" x14ac:dyDescent="0.25">
      <c r="B30" s="4"/>
      <c r="C30" s="1" t="s">
        <v>65</v>
      </c>
      <c r="D30" s="1" t="s">
        <v>51</v>
      </c>
      <c r="E30" s="3" t="s">
        <v>58</v>
      </c>
      <c r="F30" s="3"/>
      <c r="G30" s="24"/>
      <c r="H30" s="24"/>
      <c r="J30" s="1" t="s">
        <v>53</v>
      </c>
      <c r="K30" s="4"/>
      <c r="L30" s="4"/>
      <c r="M30" s="4"/>
      <c r="N30" s="4"/>
      <c r="O30" s="4"/>
      <c r="P30" s="33"/>
      <c r="Q30" s="25">
        <v>0</v>
      </c>
      <c r="R30" s="25">
        <v>0</v>
      </c>
      <c r="S30" s="12">
        <f t="shared" si="0"/>
        <v>0</v>
      </c>
      <c r="T30" s="5">
        <v>0</v>
      </c>
      <c r="U30" s="12">
        <f t="shared" si="1"/>
        <v>0</v>
      </c>
      <c r="V30" s="25" t="s">
        <v>10</v>
      </c>
      <c r="W30" s="11">
        <f>IFERROR(VLOOKUP(V30,Curr!$B$2:$C$13,2,FALSE),0)</f>
        <v>10.8</v>
      </c>
      <c r="X30" s="12">
        <f t="shared" si="2"/>
        <v>0</v>
      </c>
      <c r="Y30" s="26">
        <f t="shared" si="3"/>
        <v>0</v>
      </c>
      <c r="Z30" s="12">
        <f t="shared" si="4"/>
        <v>0</v>
      </c>
      <c r="AA30" s="4" t="s">
        <v>10</v>
      </c>
      <c r="AB30" s="11">
        <f>IFERROR(VLOOKUP(AA30,Curr!$B$2:$C$13,2,FALSE),0)</f>
        <v>10.8</v>
      </c>
      <c r="AC30" s="12">
        <f t="shared" si="5"/>
        <v>0</v>
      </c>
      <c r="AD30" s="12">
        <f t="shared" si="6"/>
        <v>0</v>
      </c>
      <c r="AE30" s="13">
        <f t="shared" si="7"/>
        <v>0</v>
      </c>
    </row>
    <row r="31" spans="2:31" x14ac:dyDescent="0.25">
      <c r="B31" s="4"/>
      <c r="E31" s="3"/>
      <c r="F31" s="3"/>
      <c r="G31" s="24"/>
      <c r="H31" s="24"/>
      <c r="K31" s="4"/>
      <c r="L31" s="4"/>
      <c r="M31" s="4"/>
      <c r="N31" s="4"/>
      <c r="O31" s="4"/>
      <c r="P31" s="33"/>
      <c r="Q31" s="25"/>
      <c r="R31" s="25"/>
      <c r="S31" s="12">
        <f t="shared" si="0"/>
        <v>0</v>
      </c>
      <c r="T31" s="5">
        <v>0</v>
      </c>
      <c r="U31" s="12">
        <f t="shared" si="1"/>
        <v>0</v>
      </c>
      <c r="V31" s="25" t="s">
        <v>10</v>
      </c>
      <c r="W31" s="11">
        <f>IFERROR(VLOOKUP(V31,Curr!$B$2:$C$13,2,FALSE),0)</f>
        <v>10.8</v>
      </c>
      <c r="X31" s="12">
        <f t="shared" si="2"/>
        <v>0</v>
      </c>
      <c r="Y31" s="26">
        <f t="shared" si="3"/>
        <v>0</v>
      </c>
      <c r="Z31" s="12">
        <f t="shared" si="4"/>
        <v>0</v>
      </c>
      <c r="AA31" s="4" t="s">
        <v>10</v>
      </c>
      <c r="AB31" s="11">
        <f>IFERROR(VLOOKUP(AA31,Curr!$B$2:$C$13,2,FALSE),0)</f>
        <v>10.8</v>
      </c>
      <c r="AC31" s="12">
        <f t="shared" si="5"/>
        <v>0</v>
      </c>
      <c r="AD31" s="12">
        <f t="shared" si="6"/>
        <v>0</v>
      </c>
      <c r="AE31" s="13">
        <f t="shared" si="7"/>
        <v>0</v>
      </c>
    </row>
    <row r="32" spans="2:31" x14ac:dyDescent="0.25">
      <c r="B32" s="4"/>
      <c r="C32" s="1" t="s">
        <v>66</v>
      </c>
      <c r="D32" s="1" t="s">
        <v>75</v>
      </c>
      <c r="E32" s="3" t="s">
        <v>59</v>
      </c>
      <c r="F32" s="3"/>
      <c r="G32" s="24"/>
      <c r="H32" s="24"/>
      <c r="J32" s="1" t="s">
        <v>96</v>
      </c>
      <c r="K32" s="4"/>
      <c r="L32" s="4"/>
      <c r="M32" s="4"/>
      <c r="N32" s="4"/>
      <c r="O32" s="4"/>
      <c r="P32" s="33"/>
      <c r="Q32" s="25">
        <v>0</v>
      </c>
      <c r="R32" s="25">
        <v>0</v>
      </c>
      <c r="S32" s="12">
        <f t="shared" si="0"/>
        <v>0</v>
      </c>
      <c r="T32" s="5">
        <v>0</v>
      </c>
      <c r="U32" s="12">
        <f t="shared" si="1"/>
        <v>0</v>
      </c>
      <c r="V32" s="25" t="s">
        <v>10</v>
      </c>
      <c r="W32" s="11">
        <f>IFERROR(VLOOKUP(V32,Curr!$B$2:$C$13,2,FALSE),0)</f>
        <v>10.8</v>
      </c>
      <c r="X32" s="12">
        <f t="shared" si="2"/>
        <v>0</v>
      </c>
      <c r="Y32" s="26">
        <f t="shared" si="3"/>
        <v>0</v>
      </c>
      <c r="Z32" s="12">
        <f t="shared" si="4"/>
        <v>0</v>
      </c>
      <c r="AA32" s="4" t="s">
        <v>10</v>
      </c>
      <c r="AB32" s="11">
        <f>IFERROR(VLOOKUP(AA32,Curr!$B$2:$C$13,2,FALSE),0)</f>
        <v>10.8</v>
      </c>
      <c r="AC32" s="12">
        <f t="shared" si="5"/>
        <v>0</v>
      </c>
      <c r="AD32" s="12">
        <f t="shared" si="6"/>
        <v>0</v>
      </c>
      <c r="AE32" s="13">
        <f t="shared" si="7"/>
        <v>0</v>
      </c>
    </row>
    <row r="33" spans="2:31" x14ac:dyDescent="0.25">
      <c r="B33" s="4"/>
      <c r="C33" s="1" t="s">
        <v>66</v>
      </c>
      <c r="D33" s="1" t="s">
        <v>74</v>
      </c>
      <c r="E33" s="3" t="s">
        <v>59</v>
      </c>
      <c r="F33" s="3"/>
      <c r="G33" s="24"/>
      <c r="H33" s="24"/>
      <c r="J33" s="1" t="s">
        <v>98</v>
      </c>
      <c r="K33" s="4"/>
      <c r="L33" s="4"/>
      <c r="M33" s="4"/>
      <c r="N33" s="4"/>
      <c r="O33" s="4"/>
      <c r="P33" s="33"/>
      <c r="Q33" s="25">
        <v>0</v>
      </c>
      <c r="R33" s="25">
        <v>0</v>
      </c>
      <c r="S33" s="12">
        <f t="shared" si="0"/>
        <v>0</v>
      </c>
      <c r="T33" s="5">
        <v>0</v>
      </c>
      <c r="U33" s="12">
        <f t="shared" si="1"/>
        <v>0</v>
      </c>
      <c r="V33" s="25" t="s">
        <v>10</v>
      </c>
      <c r="W33" s="11">
        <f>IFERROR(VLOOKUP(V33,Curr!$B$2:$C$13,2,FALSE),0)</f>
        <v>10.8</v>
      </c>
      <c r="X33" s="12">
        <f t="shared" si="2"/>
        <v>0</v>
      </c>
      <c r="Y33" s="26">
        <f t="shared" si="3"/>
        <v>0</v>
      </c>
      <c r="Z33" s="12">
        <f t="shared" si="4"/>
        <v>0</v>
      </c>
      <c r="AA33" s="4" t="s">
        <v>10</v>
      </c>
      <c r="AB33" s="11">
        <f>IFERROR(VLOOKUP(AA33,Curr!$B$2:$C$13,2,FALSE),0)</f>
        <v>10.8</v>
      </c>
      <c r="AC33" s="12">
        <f t="shared" si="5"/>
        <v>0</v>
      </c>
      <c r="AD33" s="12">
        <f t="shared" si="6"/>
        <v>0</v>
      </c>
      <c r="AE33" s="13">
        <f t="shared" si="7"/>
        <v>0</v>
      </c>
    </row>
    <row r="34" spans="2:31" x14ac:dyDescent="0.25">
      <c r="B34" s="4"/>
      <c r="C34" s="1" t="s">
        <v>66</v>
      </c>
      <c r="D34" s="1" t="s">
        <v>76</v>
      </c>
      <c r="E34" s="3" t="s">
        <v>59</v>
      </c>
      <c r="F34" s="3"/>
      <c r="G34" s="24"/>
      <c r="H34" s="24"/>
      <c r="J34" s="1" t="s">
        <v>153</v>
      </c>
      <c r="K34" s="4"/>
      <c r="L34" s="4"/>
      <c r="M34" s="4"/>
      <c r="N34" s="4"/>
      <c r="O34" s="4"/>
      <c r="P34" s="33" t="s">
        <v>154</v>
      </c>
      <c r="Q34" s="25">
        <v>3747</v>
      </c>
      <c r="R34" s="25">
        <v>4</v>
      </c>
      <c r="S34" s="12">
        <f t="shared" si="0"/>
        <v>14988</v>
      </c>
      <c r="T34" s="5">
        <v>0</v>
      </c>
      <c r="U34" s="12">
        <f t="shared" si="1"/>
        <v>14988</v>
      </c>
      <c r="V34" s="25" t="s">
        <v>8</v>
      </c>
      <c r="W34" s="11">
        <f>IFERROR(VLOOKUP(V34,Curr!$B$2:$C$13,2,FALSE),0)</f>
        <v>1</v>
      </c>
      <c r="X34" s="12">
        <f t="shared" si="2"/>
        <v>14988</v>
      </c>
      <c r="Y34" s="26">
        <f>Q34/11/0.8</f>
        <v>425.7954545454545</v>
      </c>
      <c r="Z34" s="12">
        <f t="shared" si="4"/>
        <v>1703.181818181818</v>
      </c>
      <c r="AA34" s="4" t="s">
        <v>10</v>
      </c>
      <c r="AB34" s="11">
        <f>IFERROR(VLOOKUP(AA34,Curr!$B$2:$C$13,2,FALSE),0)</f>
        <v>10.8</v>
      </c>
      <c r="AC34" s="12">
        <f t="shared" si="5"/>
        <v>18394.363636363636</v>
      </c>
      <c r="AD34" s="12">
        <f t="shared" si="6"/>
        <v>3406.363636363636</v>
      </c>
      <c r="AE34" s="13">
        <f t="shared" si="7"/>
        <v>0.18518518518518517</v>
      </c>
    </row>
    <row r="35" spans="2:31" x14ac:dyDescent="0.25">
      <c r="B35" s="4"/>
      <c r="C35" s="1" t="s">
        <v>66</v>
      </c>
      <c r="D35" s="1" t="s">
        <v>49</v>
      </c>
      <c r="E35" s="3" t="s">
        <v>59</v>
      </c>
      <c r="F35" s="3"/>
      <c r="G35" s="24"/>
      <c r="H35" s="24"/>
      <c r="J35" s="1" t="s">
        <v>100</v>
      </c>
      <c r="K35" s="4"/>
      <c r="L35" s="4"/>
      <c r="M35" s="4"/>
      <c r="N35" s="4"/>
      <c r="O35" s="4"/>
      <c r="P35" s="33"/>
      <c r="Q35" s="25">
        <v>1900</v>
      </c>
      <c r="R35" s="25">
        <v>1</v>
      </c>
      <c r="S35" s="12">
        <f t="shared" si="0"/>
        <v>1900</v>
      </c>
      <c r="T35" s="5">
        <v>0</v>
      </c>
      <c r="U35" s="12">
        <f t="shared" si="1"/>
        <v>1900</v>
      </c>
      <c r="V35" s="25" t="s">
        <v>8</v>
      </c>
      <c r="W35" s="11">
        <f>IFERROR(VLOOKUP(V35,Curr!$B$2:$C$13,2,FALSE),0)</f>
        <v>1</v>
      </c>
      <c r="X35" s="12">
        <f t="shared" si="2"/>
        <v>1900</v>
      </c>
      <c r="Y35" s="26">
        <f>Q35/11/0.8</f>
        <v>215.90909090909088</v>
      </c>
      <c r="Z35" s="12">
        <f t="shared" si="4"/>
        <v>215.90909090909088</v>
      </c>
      <c r="AA35" s="4" t="s">
        <v>10</v>
      </c>
      <c r="AB35" s="11">
        <f>IFERROR(VLOOKUP(AA35,Curr!$B$2:$C$13,2,FALSE),0)</f>
        <v>10.8</v>
      </c>
      <c r="AC35" s="12">
        <f t="shared" si="5"/>
        <v>2331.8181818181815</v>
      </c>
      <c r="AD35" s="12">
        <f t="shared" si="6"/>
        <v>431.81818181818153</v>
      </c>
      <c r="AE35" s="13">
        <f t="shared" si="7"/>
        <v>0.18518518518518509</v>
      </c>
    </row>
    <row r="36" spans="2:31" x14ac:dyDescent="0.25">
      <c r="B36" s="4"/>
      <c r="C36" s="1" t="s">
        <v>66</v>
      </c>
      <c r="D36" s="1" t="s">
        <v>50</v>
      </c>
      <c r="E36" s="3" t="s">
        <v>59</v>
      </c>
      <c r="F36" s="3" t="s">
        <v>63</v>
      </c>
      <c r="G36" s="24"/>
      <c r="H36" s="24"/>
      <c r="J36" s="1" t="s">
        <v>151</v>
      </c>
      <c r="K36" s="4"/>
      <c r="L36" s="4"/>
      <c r="M36" s="4"/>
      <c r="N36" s="4"/>
      <c r="O36" s="4"/>
      <c r="P36" s="33" t="s">
        <v>152</v>
      </c>
      <c r="Q36" s="25">
        <v>1336</v>
      </c>
      <c r="R36" s="25">
        <v>1</v>
      </c>
      <c r="S36" s="12">
        <f t="shared" si="0"/>
        <v>1336</v>
      </c>
      <c r="T36" s="5">
        <v>0</v>
      </c>
      <c r="U36" s="12">
        <f t="shared" si="1"/>
        <v>1336</v>
      </c>
      <c r="V36" s="25" t="s">
        <v>10</v>
      </c>
      <c r="W36" s="11">
        <f>IFERROR(VLOOKUP(V36,Curr!$B$2:$C$13,2,FALSE),0)</f>
        <v>10.8</v>
      </c>
      <c r="X36" s="12">
        <f t="shared" si="2"/>
        <v>14428.800000000001</v>
      </c>
      <c r="Y36" s="26">
        <f>Q36/0.85</f>
        <v>1571.7647058823529</v>
      </c>
      <c r="Z36" s="12">
        <f t="shared" si="4"/>
        <v>1571.7647058823529</v>
      </c>
      <c r="AA36" s="4" t="s">
        <v>10</v>
      </c>
      <c r="AB36" s="11">
        <f>IFERROR(VLOOKUP(AA36,Curr!$B$2:$C$13,2,FALSE),0)</f>
        <v>10.8</v>
      </c>
      <c r="AC36" s="12">
        <f t="shared" si="5"/>
        <v>16975.058823529413</v>
      </c>
      <c r="AD36" s="12">
        <f t="shared" si="6"/>
        <v>2546.2588235294115</v>
      </c>
      <c r="AE36" s="13">
        <f t="shared" si="7"/>
        <v>0.14999999999999997</v>
      </c>
    </row>
    <row r="37" spans="2:31" x14ac:dyDescent="0.25">
      <c r="B37" s="4"/>
      <c r="C37" s="1" t="s">
        <v>66</v>
      </c>
      <c r="D37" s="1" t="s">
        <v>51</v>
      </c>
      <c r="E37" s="3" t="s">
        <v>59</v>
      </c>
      <c r="F37" s="3"/>
      <c r="G37" s="24"/>
      <c r="H37" s="24"/>
      <c r="J37" s="1" t="s">
        <v>102</v>
      </c>
      <c r="K37" s="4"/>
      <c r="L37" s="4"/>
      <c r="M37" s="4"/>
      <c r="N37" s="4"/>
      <c r="O37" s="4"/>
      <c r="P37" s="33"/>
      <c r="Q37" s="25">
        <v>0</v>
      </c>
      <c r="R37" s="25">
        <v>0</v>
      </c>
      <c r="S37" s="12">
        <f t="shared" si="0"/>
        <v>0</v>
      </c>
      <c r="T37" s="5">
        <v>0</v>
      </c>
      <c r="U37" s="12">
        <f t="shared" si="1"/>
        <v>0</v>
      </c>
      <c r="V37" s="25" t="s">
        <v>10</v>
      </c>
      <c r="W37" s="11">
        <f>IFERROR(VLOOKUP(V37,Curr!$B$2:$C$13,2,FALSE),0)</f>
        <v>10.8</v>
      </c>
      <c r="X37" s="12">
        <f t="shared" si="2"/>
        <v>0</v>
      </c>
      <c r="Y37" s="26">
        <f t="shared" si="3"/>
        <v>0</v>
      </c>
      <c r="Z37" s="12">
        <f t="shared" si="4"/>
        <v>0</v>
      </c>
      <c r="AA37" s="4" t="s">
        <v>10</v>
      </c>
      <c r="AB37" s="11">
        <f>IFERROR(VLOOKUP(AA37,Curr!$B$2:$C$13,2,FALSE),0)</f>
        <v>10.8</v>
      </c>
      <c r="AC37" s="12">
        <f t="shared" si="5"/>
        <v>0</v>
      </c>
      <c r="AD37" s="12">
        <f t="shared" si="6"/>
        <v>0</v>
      </c>
      <c r="AE37" s="13">
        <f t="shared" si="7"/>
        <v>0</v>
      </c>
    </row>
    <row r="38" spans="2:31" x14ac:dyDescent="0.25">
      <c r="B38" s="4"/>
      <c r="E38" s="3"/>
      <c r="F38" s="3"/>
      <c r="G38" s="24"/>
      <c r="H38" s="24"/>
      <c r="K38" s="4"/>
      <c r="L38" s="4"/>
      <c r="M38" s="4"/>
      <c r="N38" s="4"/>
      <c r="O38" s="4"/>
      <c r="P38" s="29"/>
      <c r="Q38" s="25"/>
      <c r="R38" s="25"/>
      <c r="S38" s="12">
        <f t="shared" si="0"/>
        <v>0</v>
      </c>
      <c r="T38" s="5">
        <v>0</v>
      </c>
      <c r="U38" s="12">
        <f t="shared" si="1"/>
        <v>0</v>
      </c>
      <c r="V38" s="25" t="s">
        <v>10</v>
      </c>
      <c r="W38" s="11">
        <f>IFERROR(VLOOKUP(V38,Curr!$B$2:$C$13,2,FALSE),0)</f>
        <v>10.8</v>
      </c>
      <c r="X38" s="12">
        <f t="shared" si="2"/>
        <v>0</v>
      </c>
      <c r="Y38" s="26">
        <f t="shared" si="3"/>
        <v>0</v>
      </c>
      <c r="Z38" s="12">
        <f t="shared" si="4"/>
        <v>0</v>
      </c>
      <c r="AA38" s="4" t="s">
        <v>10</v>
      </c>
      <c r="AB38" s="11">
        <f>IFERROR(VLOOKUP(AA38,Curr!$B$2:$C$13,2,FALSE),0)</f>
        <v>10.8</v>
      </c>
      <c r="AC38" s="12">
        <f t="shared" si="5"/>
        <v>0</v>
      </c>
      <c r="AD38" s="12">
        <f t="shared" si="6"/>
        <v>0</v>
      </c>
      <c r="AE38" s="13">
        <f t="shared" si="7"/>
        <v>0</v>
      </c>
    </row>
    <row r="39" spans="2:31" x14ac:dyDescent="0.25">
      <c r="B39" s="4"/>
      <c r="C39" s="1" t="s">
        <v>103</v>
      </c>
      <c r="D39" s="1" t="s">
        <v>56</v>
      </c>
      <c r="E39" s="3" t="s">
        <v>61</v>
      </c>
      <c r="F39" s="3"/>
      <c r="G39" s="24"/>
      <c r="H39" s="24"/>
      <c r="J39" s="1" t="s">
        <v>157</v>
      </c>
      <c r="K39" s="4"/>
      <c r="L39" s="4"/>
      <c r="M39" s="4"/>
      <c r="N39" s="4"/>
      <c r="O39" s="4"/>
      <c r="P39" s="33" t="s">
        <v>158</v>
      </c>
      <c r="Q39" s="25">
        <v>40</v>
      </c>
      <c r="R39" s="25">
        <v>4</v>
      </c>
      <c r="S39" s="12">
        <f t="shared" si="0"/>
        <v>160</v>
      </c>
      <c r="T39" s="5">
        <v>0.2</v>
      </c>
      <c r="U39" s="12">
        <f t="shared" si="1"/>
        <v>128</v>
      </c>
      <c r="V39" s="25" t="s">
        <v>10</v>
      </c>
      <c r="W39" s="11">
        <f>IFERROR(VLOOKUP(V39,Curr!$B$2:$C$13,2,FALSE),0)</f>
        <v>10.8</v>
      </c>
      <c r="X39" s="12">
        <f t="shared" si="2"/>
        <v>1382.4</v>
      </c>
      <c r="Y39" s="26">
        <f t="shared" si="3"/>
        <v>40</v>
      </c>
      <c r="Z39" s="12">
        <f t="shared" si="4"/>
        <v>160</v>
      </c>
      <c r="AA39" s="4" t="s">
        <v>10</v>
      </c>
      <c r="AB39" s="11">
        <f>IFERROR(VLOOKUP(AA39,Curr!$B$2:$C$13,2,FALSE),0)</f>
        <v>10.8</v>
      </c>
      <c r="AC39" s="12">
        <f t="shared" si="5"/>
        <v>1728</v>
      </c>
      <c r="AD39" s="12">
        <f t="shared" si="6"/>
        <v>345.59999999999991</v>
      </c>
      <c r="AE39" s="13">
        <f t="shared" si="7"/>
        <v>0.19999999999999996</v>
      </c>
    </row>
    <row r="40" spans="2:31" x14ac:dyDescent="0.25">
      <c r="B40" s="4"/>
      <c r="C40" s="1" t="s">
        <v>103</v>
      </c>
      <c r="D40" s="1" t="s">
        <v>51</v>
      </c>
      <c r="E40" s="3" t="s">
        <v>61</v>
      </c>
      <c r="F40" s="3"/>
      <c r="G40" s="24"/>
      <c r="H40" s="24"/>
      <c r="J40" s="1" t="s">
        <v>102</v>
      </c>
      <c r="K40" s="4"/>
      <c r="L40" s="4"/>
      <c r="M40" s="4"/>
      <c r="N40" s="4"/>
      <c r="O40" s="4"/>
      <c r="P40" s="33"/>
      <c r="Q40" s="25">
        <v>0</v>
      </c>
      <c r="R40" s="25">
        <v>0</v>
      </c>
      <c r="S40" s="12">
        <f t="shared" si="0"/>
        <v>0</v>
      </c>
      <c r="T40" s="5">
        <v>0</v>
      </c>
      <c r="U40" s="12">
        <f t="shared" si="1"/>
        <v>0</v>
      </c>
      <c r="V40" s="25" t="s">
        <v>10</v>
      </c>
      <c r="W40" s="11">
        <f>IFERROR(VLOOKUP(V40,Curr!$B$2:$C$13,2,FALSE),0)</f>
        <v>10.8</v>
      </c>
      <c r="X40" s="12">
        <f t="shared" si="2"/>
        <v>0</v>
      </c>
      <c r="Y40" s="26">
        <f t="shared" si="3"/>
        <v>0</v>
      </c>
      <c r="Z40" s="12">
        <f t="shared" si="4"/>
        <v>0</v>
      </c>
      <c r="AA40" s="4" t="s">
        <v>10</v>
      </c>
      <c r="AB40" s="11">
        <f>IFERROR(VLOOKUP(AA40,Curr!$B$2:$C$13,2,FALSE),0)</f>
        <v>10.8</v>
      </c>
      <c r="AC40" s="12">
        <f t="shared" si="5"/>
        <v>0</v>
      </c>
      <c r="AD40" s="12">
        <f t="shared" si="6"/>
        <v>0</v>
      </c>
      <c r="AE40" s="13">
        <f t="shared" si="7"/>
        <v>0</v>
      </c>
    </row>
    <row r="41" spans="2:31" x14ac:dyDescent="0.25">
      <c r="B41" s="4"/>
      <c r="E41" s="3"/>
      <c r="F41" s="3"/>
      <c r="G41" s="24"/>
      <c r="H41" s="24"/>
      <c r="K41" s="4"/>
      <c r="L41" s="4"/>
      <c r="M41" s="4"/>
      <c r="N41" s="4"/>
      <c r="O41" s="4"/>
      <c r="P41" s="27"/>
      <c r="Q41" s="25"/>
      <c r="R41" s="25"/>
      <c r="S41" s="12">
        <f t="shared" si="0"/>
        <v>0</v>
      </c>
      <c r="T41" s="5">
        <v>0</v>
      </c>
      <c r="U41" s="12">
        <f t="shared" si="1"/>
        <v>0</v>
      </c>
      <c r="V41" s="25" t="s">
        <v>10</v>
      </c>
      <c r="W41" s="11">
        <f>IFERROR(VLOOKUP(V41,Curr!$B$2:$C$13,2,FALSE),0)</f>
        <v>10.8</v>
      </c>
      <c r="X41" s="12">
        <f t="shared" si="2"/>
        <v>0</v>
      </c>
      <c r="Y41" s="26">
        <f t="shared" si="3"/>
        <v>0</v>
      </c>
      <c r="Z41" s="12">
        <f t="shared" si="4"/>
        <v>0</v>
      </c>
      <c r="AA41" s="4" t="s">
        <v>10</v>
      </c>
      <c r="AB41" s="11">
        <f>IFERROR(VLOOKUP(AA41,Curr!$B$2:$C$13,2,FALSE),0)</f>
        <v>10.8</v>
      </c>
      <c r="AC41" s="12">
        <f t="shared" si="5"/>
        <v>0</v>
      </c>
      <c r="AD41" s="12">
        <f t="shared" si="6"/>
        <v>0</v>
      </c>
      <c r="AE41" s="13">
        <f t="shared" si="7"/>
        <v>0</v>
      </c>
    </row>
    <row r="42" spans="2:31" x14ac:dyDescent="0.25">
      <c r="B42" s="4"/>
      <c r="C42" s="1" t="s">
        <v>104</v>
      </c>
      <c r="D42" s="1" t="s">
        <v>49</v>
      </c>
      <c r="E42" s="3" t="s">
        <v>63</v>
      </c>
      <c r="F42" s="3"/>
      <c r="G42" s="24"/>
      <c r="H42" s="24"/>
      <c r="J42" s="1" t="s">
        <v>105</v>
      </c>
      <c r="K42" s="4"/>
      <c r="L42" s="4"/>
      <c r="M42" s="4"/>
      <c r="N42" s="4"/>
      <c r="O42" s="4"/>
      <c r="P42" s="33"/>
      <c r="Q42" s="25">
        <v>0</v>
      </c>
      <c r="R42" s="25">
        <v>0</v>
      </c>
      <c r="S42" s="12">
        <f t="shared" si="0"/>
        <v>0</v>
      </c>
      <c r="T42" s="5">
        <v>0</v>
      </c>
      <c r="U42" s="12">
        <f t="shared" si="1"/>
        <v>0</v>
      </c>
      <c r="V42" s="25" t="s">
        <v>10</v>
      </c>
      <c r="W42" s="11">
        <f>IFERROR(VLOOKUP(V42,Curr!$B$2:$C$13,2,FALSE),0)</f>
        <v>10.8</v>
      </c>
      <c r="X42" s="12">
        <f t="shared" si="2"/>
        <v>0</v>
      </c>
      <c r="Y42" s="26">
        <f t="shared" si="3"/>
        <v>0</v>
      </c>
      <c r="Z42" s="12">
        <f t="shared" si="4"/>
        <v>0</v>
      </c>
      <c r="AA42" s="4" t="s">
        <v>10</v>
      </c>
      <c r="AB42" s="11">
        <f>IFERROR(VLOOKUP(AA42,Curr!$B$2:$C$13,2,FALSE),0)</f>
        <v>10.8</v>
      </c>
      <c r="AC42" s="12">
        <f t="shared" si="5"/>
        <v>0</v>
      </c>
      <c r="AD42" s="12">
        <f t="shared" si="6"/>
        <v>0</v>
      </c>
      <c r="AE42" s="13">
        <f t="shared" si="7"/>
        <v>0</v>
      </c>
    </row>
    <row r="43" spans="2:31" x14ac:dyDescent="0.25">
      <c r="B43" s="4"/>
      <c r="C43" s="1" t="s">
        <v>104</v>
      </c>
      <c r="D43" s="1" t="s">
        <v>56</v>
      </c>
      <c r="E43" s="3" t="s">
        <v>63</v>
      </c>
      <c r="F43" s="3"/>
      <c r="G43" s="24"/>
      <c r="H43" s="24"/>
      <c r="J43" s="1" t="s">
        <v>159</v>
      </c>
      <c r="K43" s="4"/>
      <c r="L43" s="4"/>
      <c r="M43" s="4"/>
      <c r="N43" s="4"/>
      <c r="O43" s="4"/>
      <c r="P43" s="33" t="s">
        <v>160</v>
      </c>
      <c r="Q43" s="25">
        <v>3474</v>
      </c>
      <c r="R43" s="25">
        <v>4</v>
      </c>
      <c r="S43" s="12">
        <f t="shared" si="0"/>
        <v>13896</v>
      </c>
      <c r="T43" s="5">
        <v>0.12</v>
      </c>
      <c r="U43" s="12">
        <f t="shared" si="1"/>
        <v>12228.48</v>
      </c>
      <c r="V43" s="25" t="s">
        <v>8</v>
      </c>
      <c r="W43" s="11">
        <f>IFERROR(VLOOKUP(V43,Curr!$B$2:$C$13,2,FALSE),0)</f>
        <v>1</v>
      </c>
      <c r="X43" s="12">
        <f t="shared" si="2"/>
        <v>12228.48</v>
      </c>
      <c r="Y43" s="26">
        <f>Q43/11/0.9</f>
        <v>350.90909090909088</v>
      </c>
      <c r="Z43" s="12">
        <f t="shared" si="4"/>
        <v>1403.6363636363635</v>
      </c>
      <c r="AA43" s="4" t="s">
        <v>10</v>
      </c>
      <c r="AB43" s="11">
        <f>IFERROR(VLOOKUP(AA43,Curr!$B$2:$C$13,2,FALSE),0)</f>
        <v>10.8</v>
      </c>
      <c r="AC43" s="12">
        <f t="shared" si="5"/>
        <v>15159.272727272726</v>
      </c>
      <c r="AD43" s="12">
        <f t="shared" si="6"/>
        <v>2930.7927272727266</v>
      </c>
      <c r="AE43" s="13">
        <f t="shared" si="7"/>
        <v>0.1933333333333333</v>
      </c>
    </row>
    <row r="44" spans="2:31" x14ac:dyDescent="0.25">
      <c r="B44" s="4"/>
      <c r="C44" s="1" t="s">
        <v>104</v>
      </c>
      <c r="D44" s="1" t="s">
        <v>49</v>
      </c>
      <c r="E44" s="3" t="s">
        <v>63</v>
      </c>
      <c r="F44" s="3"/>
      <c r="G44" s="24"/>
      <c r="H44" s="24"/>
      <c r="J44" s="1" t="s">
        <v>115</v>
      </c>
      <c r="K44" s="4"/>
      <c r="L44" s="4"/>
      <c r="M44" s="4"/>
      <c r="N44" s="4"/>
      <c r="O44" s="4"/>
      <c r="P44" s="27"/>
      <c r="Q44" s="25">
        <v>0</v>
      </c>
      <c r="R44" s="25">
        <v>0</v>
      </c>
      <c r="S44" s="12">
        <f t="shared" si="0"/>
        <v>0</v>
      </c>
      <c r="T44" s="5">
        <v>0</v>
      </c>
      <c r="U44" s="12">
        <f t="shared" si="1"/>
        <v>0</v>
      </c>
      <c r="V44" s="25" t="s">
        <v>10</v>
      </c>
      <c r="W44" s="11">
        <f>IFERROR(VLOOKUP(V44,Curr!$B$2:$C$13,2,FALSE),0)</f>
        <v>10.8</v>
      </c>
      <c r="X44" s="12">
        <f t="shared" si="2"/>
        <v>0</v>
      </c>
      <c r="Y44" s="26">
        <f t="shared" si="3"/>
        <v>0</v>
      </c>
      <c r="Z44" s="12">
        <f t="shared" si="4"/>
        <v>0</v>
      </c>
      <c r="AA44" s="4" t="s">
        <v>10</v>
      </c>
      <c r="AB44" s="11">
        <f>IFERROR(VLOOKUP(AA44,Curr!$B$2:$C$13,2,FALSE),0)</f>
        <v>10.8</v>
      </c>
      <c r="AC44" s="12">
        <f t="shared" si="5"/>
        <v>0</v>
      </c>
      <c r="AD44" s="12">
        <f t="shared" si="6"/>
        <v>0</v>
      </c>
      <c r="AE44" s="13">
        <f t="shared" si="7"/>
        <v>0</v>
      </c>
    </row>
    <row r="45" spans="2:31" x14ac:dyDescent="0.25">
      <c r="B45" s="4"/>
      <c r="C45" s="1" t="s">
        <v>104</v>
      </c>
      <c r="D45" s="1" t="s">
        <v>50</v>
      </c>
      <c r="E45" s="3" t="s">
        <v>63</v>
      </c>
      <c r="F45" s="3" t="s">
        <v>64</v>
      </c>
      <c r="G45" s="24"/>
      <c r="H45" s="24"/>
      <c r="J45" s="1" t="s">
        <v>135</v>
      </c>
      <c r="K45" s="4"/>
      <c r="L45" s="4"/>
      <c r="M45" s="4"/>
      <c r="N45" s="4"/>
      <c r="O45" s="4"/>
      <c r="P45" s="33" t="s">
        <v>136</v>
      </c>
      <c r="Q45" s="25">
        <v>1014</v>
      </c>
      <c r="R45" s="25">
        <v>1</v>
      </c>
      <c r="S45" s="12">
        <f t="shared" si="0"/>
        <v>1014</v>
      </c>
      <c r="T45" s="5">
        <v>0</v>
      </c>
      <c r="U45" s="12">
        <f t="shared" si="1"/>
        <v>1014</v>
      </c>
      <c r="V45" s="25" t="s">
        <v>10</v>
      </c>
      <c r="W45" s="11">
        <f>IFERROR(VLOOKUP(V45,Curr!$B$2:$C$13,2,FALSE),0)</f>
        <v>10.8</v>
      </c>
      <c r="X45" s="12">
        <f t="shared" si="2"/>
        <v>10951.2</v>
      </c>
      <c r="Y45" s="26">
        <f>Q45/0.85</f>
        <v>1192.9411764705883</v>
      </c>
      <c r="Z45" s="12">
        <f t="shared" si="4"/>
        <v>1192.9411764705883</v>
      </c>
      <c r="AA45" s="4" t="s">
        <v>10</v>
      </c>
      <c r="AB45" s="11">
        <f>IFERROR(VLOOKUP(AA45,Curr!$B$2:$C$13,2,FALSE),0)</f>
        <v>10.8</v>
      </c>
      <c r="AC45" s="12">
        <f t="shared" si="5"/>
        <v>12883.764705882355</v>
      </c>
      <c r="AD45" s="12">
        <f t="shared" si="6"/>
        <v>1932.5647058823542</v>
      </c>
      <c r="AE45" s="13">
        <f t="shared" si="7"/>
        <v>0.15000000000000008</v>
      </c>
    </row>
    <row r="46" spans="2:31" x14ac:dyDescent="0.25">
      <c r="B46" s="4"/>
      <c r="C46" s="1" t="s">
        <v>104</v>
      </c>
      <c r="D46" s="1" t="s">
        <v>51</v>
      </c>
      <c r="E46" s="3" t="s">
        <v>63</v>
      </c>
      <c r="F46" s="3"/>
      <c r="G46" s="24"/>
      <c r="H46" s="24"/>
      <c r="J46" s="1" t="s">
        <v>116</v>
      </c>
      <c r="K46" s="4"/>
      <c r="L46" s="4"/>
      <c r="M46" s="4"/>
      <c r="N46" s="4"/>
      <c r="O46" s="4"/>
      <c r="P46" s="33"/>
      <c r="Q46" s="25">
        <v>0</v>
      </c>
      <c r="R46" s="25">
        <v>0</v>
      </c>
      <c r="S46" s="12">
        <f t="shared" si="0"/>
        <v>0</v>
      </c>
      <c r="T46" s="5">
        <v>0</v>
      </c>
      <c r="U46" s="12">
        <f t="shared" si="1"/>
        <v>0</v>
      </c>
      <c r="V46" s="25" t="s">
        <v>10</v>
      </c>
      <c r="W46" s="11">
        <f>IFERROR(VLOOKUP(V46,Curr!$B$2:$C$13,2,FALSE),0)</f>
        <v>10.8</v>
      </c>
      <c r="X46" s="12">
        <f t="shared" si="2"/>
        <v>0</v>
      </c>
      <c r="Y46" s="26">
        <f t="shared" si="3"/>
        <v>0</v>
      </c>
      <c r="Z46" s="12">
        <f t="shared" si="4"/>
        <v>0</v>
      </c>
      <c r="AA46" s="4" t="s">
        <v>10</v>
      </c>
      <c r="AB46" s="11">
        <f>IFERROR(VLOOKUP(AA46,Curr!$B$2:$C$13,2,FALSE),0)</f>
        <v>10.8</v>
      </c>
      <c r="AC46" s="12">
        <f t="shared" si="5"/>
        <v>0</v>
      </c>
      <c r="AD46" s="12">
        <f t="shared" si="6"/>
        <v>0</v>
      </c>
      <c r="AE46" s="13">
        <f t="shared" si="7"/>
        <v>0</v>
      </c>
    </row>
    <row r="47" spans="2:31" x14ac:dyDescent="0.25">
      <c r="B47" s="4"/>
      <c r="E47" s="3"/>
      <c r="F47" s="3"/>
      <c r="G47" s="24"/>
      <c r="H47" s="24"/>
      <c r="K47" s="4"/>
      <c r="L47" s="4"/>
      <c r="M47" s="4"/>
      <c r="N47" s="4"/>
      <c r="O47" s="4"/>
      <c r="P47" s="33"/>
      <c r="Q47" s="25"/>
      <c r="R47" s="25"/>
      <c r="S47" s="12">
        <f t="shared" si="0"/>
        <v>0</v>
      </c>
      <c r="T47" s="5">
        <v>0</v>
      </c>
      <c r="U47" s="12">
        <f t="shared" si="1"/>
        <v>0</v>
      </c>
      <c r="V47" s="25" t="s">
        <v>10</v>
      </c>
      <c r="W47" s="11">
        <f>IFERROR(VLOOKUP(V47,Curr!$B$2:$C$13,2,FALSE),0)</f>
        <v>10.8</v>
      </c>
      <c r="X47" s="12">
        <f t="shared" si="2"/>
        <v>0</v>
      </c>
      <c r="Y47" s="26">
        <f t="shared" si="3"/>
        <v>0</v>
      </c>
      <c r="Z47" s="12">
        <f t="shared" si="4"/>
        <v>0</v>
      </c>
      <c r="AA47" s="4" t="s">
        <v>10</v>
      </c>
      <c r="AB47" s="11">
        <f>IFERROR(VLOOKUP(AA47,Curr!$B$2:$C$13,2,FALSE),0)</f>
        <v>10.8</v>
      </c>
      <c r="AC47" s="12">
        <f t="shared" si="5"/>
        <v>0</v>
      </c>
      <c r="AD47" s="12">
        <f t="shared" si="6"/>
        <v>0</v>
      </c>
      <c r="AE47" s="13">
        <f t="shared" si="7"/>
        <v>0</v>
      </c>
    </row>
    <row r="48" spans="2:31" x14ac:dyDescent="0.25">
      <c r="B48" s="4"/>
      <c r="C48" s="1" t="s">
        <v>107</v>
      </c>
      <c r="D48" s="1" t="s">
        <v>49</v>
      </c>
      <c r="E48" s="3" t="s">
        <v>64</v>
      </c>
      <c r="F48" s="1"/>
      <c r="G48" s="1"/>
      <c r="H48" s="1"/>
      <c r="J48" s="1" t="s">
        <v>161</v>
      </c>
      <c r="K48" s="4"/>
      <c r="L48" s="4"/>
      <c r="M48" s="4"/>
      <c r="N48" s="4"/>
      <c r="O48" s="4"/>
      <c r="P48" s="33"/>
      <c r="Q48" s="25">
        <v>0</v>
      </c>
      <c r="R48" s="25">
        <v>0</v>
      </c>
      <c r="S48" s="12">
        <f t="shared" si="0"/>
        <v>0</v>
      </c>
      <c r="T48" s="5">
        <v>0</v>
      </c>
      <c r="U48" s="12">
        <f t="shared" si="1"/>
        <v>0</v>
      </c>
      <c r="V48" s="25" t="s">
        <v>10</v>
      </c>
      <c r="W48" s="11">
        <f>IFERROR(VLOOKUP(V48,Curr!$B$2:$C$13,2,FALSE),0)</f>
        <v>10.8</v>
      </c>
      <c r="X48" s="12">
        <f t="shared" si="2"/>
        <v>0</v>
      </c>
      <c r="Y48" s="26">
        <f t="shared" si="3"/>
        <v>0</v>
      </c>
      <c r="Z48" s="12">
        <f t="shared" si="4"/>
        <v>0</v>
      </c>
      <c r="AA48" s="4" t="s">
        <v>10</v>
      </c>
      <c r="AB48" s="11">
        <f>IFERROR(VLOOKUP(AA48,Curr!$B$2:$C$13,2,FALSE),0)</f>
        <v>10.8</v>
      </c>
      <c r="AC48" s="12">
        <f t="shared" si="5"/>
        <v>0</v>
      </c>
      <c r="AD48" s="12">
        <f t="shared" si="6"/>
        <v>0</v>
      </c>
      <c r="AE48" s="13">
        <f t="shared" si="7"/>
        <v>0</v>
      </c>
    </row>
    <row r="49" spans="2:31" x14ac:dyDescent="0.25">
      <c r="B49" s="4"/>
      <c r="C49" s="1" t="s">
        <v>107</v>
      </c>
      <c r="D49" s="1" t="s">
        <v>56</v>
      </c>
      <c r="E49" s="3" t="s">
        <v>64</v>
      </c>
      <c r="F49" s="1"/>
      <c r="G49" s="1"/>
      <c r="H49" s="1"/>
      <c r="J49" s="1" t="s">
        <v>162</v>
      </c>
      <c r="K49" s="4"/>
      <c r="L49" s="4"/>
      <c r="M49" s="4"/>
      <c r="N49" s="4"/>
      <c r="O49" s="4"/>
      <c r="P49" s="27"/>
      <c r="Q49" s="25">
        <v>0</v>
      </c>
      <c r="R49" s="25">
        <v>0</v>
      </c>
      <c r="S49" s="12">
        <f t="shared" si="0"/>
        <v>0</v>
      </c>
      <c r="T49" s="5">
        <v>0</v>
      </c>
      <c r="U49" s="12">
        <f t="shared" si="1"/>
        <v>0</v>
      </c>
      <c r="V49" s="25" t="s">
        <v>10</v>
      </c>
      <c r="W49" s="11">
        <f>IFERROR(VLOOKUP(V49,Curr!$B$2:$C$13,2,FALSE),0)</f>
        <v>10.8</v>
      </c>
      <c r="X49" s="12">
        <f t="shared" si="2"/>
        <v>0</v>
      </c>
      <c r="Y49" s="26">
        <f t="shared" si="3"/>
        <v>0</v>
      </c>
      <c r="Z49" s="12">
        <f t="shared" si="4"/>
        <v>0</v>
      </c>
      <c r="AA49" s="4" t="s">
        <v>10</v>
      </c>
      <c r="AB49" s="11">
        <f>IFERROR(VLOOKUP(AA49,Curr!$B$2:$C$13,2,FALSE),0)</f>
        <v>10.8</v>
      </c>
      <c r="AC49" s="12">
        <f t="shared" si="5"/>
        <v>0</v>
      </c>
      <c r="AD49" s="12">
        <f t="shared" si="6"/>
        <v>0</v>
      </c>
      <c r="AE49" s="13">
        <f t="shared" si="7"/>
        <v>0</v>
      </c>
    </row>
    <row r="50" spans="2:31" x14ac:dyDescent="0.25">
      <c r="B50" s="4"/>
      <c r="C50" s="1" t="s">
        <v>107</v>
      </c>
      <c r="D50" s="1" t="s">
        <v>49</v>
      </c>
      <c r="E50" s="3" t="s">
        <v>64</v>
      </c>
      <c r="F50" s="1"/>
      <c r="G50" s="1"/>
      <c r="H50" s="1"/>
      <c r="J50" s="1" t="s">
        <v>108</v>
      </c>
      <c r="K50" s="4"/>
      <c r="L50" s="4"/>
      <c r="M50" s="4"/>
      <c r="N50" s="4"/>
      <c r="O50" s="4"/>
      <c r="P50" s="33" t="s">
        <v>166</v>
      </c>
      <c r="Q50" s="25">
        <v>1690</v>
      </c>
      <c r="R50" s="25">
        <v>1</v>
      </c>
      <c r="S50" s="12">
        <f t="shared" si="0"/>
        <v>1690</v>
      </c>
      <c r="T50" s="5">
        <v>0.15</v>
      </c>
      <c r="U50" s="12">
        <f t="shared" si="1"/>
        <v>1436.5</v>
      </c>
      <c r="V50" s="25" t="s">
        <v>8</v>
      </c>
      <c r="W50" s="11">
        <f>IFERROR(VLOOKUP(V50,Curr!$B$2:$C$13,2,FALSE),0)</f>
        <v>1</v>
      </c>
      <c r="X50" s="12">
        <f t="shared" ref="X50" si="16">U50*W50</f>
        <v>1436.5</v>
      </c>
      <c r="Y50" s="26">
        <f>Q50/11/0.9</f>
        <v>170.7070707070707</v>
      </c>
      <c r="Z50" s="12">
        <f t="shared" si="4"/>
        <v>170.7070707070707</v>
      </c>
      <c r="AA50" s="4" t="s">
        <v>10</v>
      </c>
      <c r="AB50" s="11">
        <f>IFERROR(VLOOKUP(AA50,Curr!$B$2:$C$13,2,FALSE),0)</f>
        <v>10.8</v>
      </c>
      <c r="AC50" s="12">
        <f t="shared" si="5"/>
        <v>1843.6363636363637</v>
      </c>
      <c r="AD50" s="12">
        <f t="shared" si="6"/>
        <v>407.13636363636374</v>
      </c>
      <c r="AE50" s="13">
        <f t="shared" si="7"/>
        <v>0.22083333333333338</v>
      </c>
    </row>
    <row r="51" spans="2:31" x14ac:dyDescent="0.25">
      <c r="B51" s="4"/>
      <c r="C51" s="1" t="s">
        <v>107</v>
      </c>
      <c r="D51" s="1" t="s">
        <v>50</v>
      </c>
      <c r="E51" s="3" t="s">
        <v>64</v>
      </c>
      <c r="F51" s="3" t="s">
        <v>54</v>
      </c>
      <c r="G51" s="1"/>
      <c r="H51" s="1"/>
      <c r="J51" s="1" t="s">
        <v>155</v>
      </c>
      <c r="K51" s="4"/>
      <c r="L51" s="4"/>
      <c r="M51" s="4"/>
      <c r="N51" s="4"/>
      <c r="O51" s="4"/>
      <c r="P51" s="29" t="s">
        <v>156</v>
      </c>
      <c r="Q51" s="25">
        <v>1174</v>
      </c>
      <c r="R51" s="25">
        <v>1</v>
      </c>
      <c r="S51" s="12">
        <f t="shared" si="0"/>
        <v>1174</v>
      </c>
      <c r="T51" s="5">
        <v>0</v>
      </c>
      <c r="U51" s="12">
        <f t="shared" si="1"/>
        <v>1174</v>
      </c>
      <c r="V51" s="25" t="s">
        <v>10</v>
      </c>
      <c r="W51" s="11">
        <f>IFERROR(VLOOKUP(V51,Curr!$B$2:$C$13,2,FALSE),0)</f>
        <v>10.8</v>
      </c>
      <c r="X51" s="12">
        <f t="shared" si="2"/>
        <v>12679.2</v>
      </c>
      <c r="Y51" s="26">
        <f>Q51/0.85</f>
        <v>1381.1764705882354</v>
      </c>
      <c r="Z51" s="12">
        <f t="shared" si="4"/>
        <v>1381.1764705882354</v>
      </c>
      <c r="AA51" s="4" t="s">
        <v>10</v>
      </c>
      <c r="AB51" s="11">
        <f>IFERROR(VLOOKUP(AA51,Curr!$B$2:$C$13,2,FALSE),0)</f>
        <v>10.8</v>
      </c>
      <c r="AC51" s="12">
        <f t="shared" si="5"/>
        <v>14916.705882352942</v>
      </c>
      <c r="AD51" s="12">
        <f t="shared" si="6"/>
        <v>2237.5058823529416</v>
      </c>
      <c r="AE51" s="13">
        <f t="shared" si="7"/>
        <v>0.15000000000000002</v>
      </c>
    </row>
    <row r="52" spans="2:31" x14ac:dyDescent="0.25">
      <c r="B52" s="4"/>
      <c r="C52" s="1" t="s">
        <v>107</v>
      </c>
      <c r="D52" s="1" t="s">
        <v>51</v>
      </c>
      <c r="E52" s="3" t="s">
        <v>64</v>
      </c>
      <c r="F52" s="1"/>
      <c r="G52" s="1"/>
      <c r="H52" s="1"/>
      <c r="J52" s="1" t="s">
        <v>109</v>
      </c>
      <c r="K52" s="4"/>
      <c r="L52" s="4"/>
      <c r="M52" s="4"/>
      <c r="N52" s="4"/>
      <c r="O52" s="4"/>
      <c r="P52" s="33"/>
      <c r="Q52" s="25">
        <v>0</v>
      </c>
      <c r="R52" s="25">
        <v>0</v>
      </c>
      <c r="S52" s="12">
        <f t="shared" si="0"/>
        <v>0</v>
      </c>
      <c r="T52" s="5">
        <v>0</v>
      </c>
      <c r="U52" s="12">
        <f t="shared" si="1"/>
        <v>0</v>
      </c>
      <c r="V52" s="25" t="s">
        <v>10</v>
      </c>
      <c r="W52" s="11">
        <f>IFERROR(VLOOKUP(V52,Curr!$B$2:$C$13,2,FALSE),0)</f>
        <v>10.8</v>
      </c>
      <c r="X52" s="12">
        <f t="shared" si="2"/>
        <v>0</v>
      </c>
      <c r="Y52" s="26">
        <f t="shared" si="3"/>
        <v>0</v>
      </c>
      <c r="Z52" s="12">
        <f t="shared" si="4"/>
        <v>0</v>
      </c>
      <c r="AA52" s="4" t="s">
        <v>10</v>
      </c>
      <c r="AB52" s="11">
        <f>IFERROR(VLOOKUP(AA52,Curr!$B$2:$C$13,2,FALSE),0)</f>
        <v>10.8</v>
      </c>
      <c r="AC52" s="12">
        <f t="shared" si="5"/>
        <v>0</v>
      </c>
      <c r="AD52" s="12">
        <f t="shared" si="6"/>
        <v>0</v>
      </c>
      <c r="AE52" s="13">
        <f t="shared" si="7"/>
        <v>0</v>
      </c>
    </row>
    <row r="53" spans="2:31" x14ac:dyDescent="0.25">
      <c r="B53" s="4"/>
      <c r="E53" s="1"/>
      <c r="F53" s="1"/>
      <c r="G53" s="1"/>
      <c r="H53" s="1"/>
      <c r="K53" s="4"/>
      <c r="L53" s="4"/>
      <c r="M53" s="4"/>
      <c r="N53" s="4"/>
      <c r="O53" s="4"/>
      <c r="P53" s="33"/>
      <c r="Q53" s="25"/>
      <c r="R53" s="25"/>
      <c r="S53" s="12">
        <f t="shared" si="0"/>
        <v>0</v>
      </c>
      <c r="T53" s="5">
        <v>0</v>
      </c>
      <c r="U53" s="12">
        <f t="shared" si="1"/>
        <v>0</v>
      </c>
      <c r="V53" s="25" t="s">
        <v>10</v>
      </c>
      <c r="W53" s="11">
        <f>IFERROR(VLOOKUP(V53,Curr!$B$2:$C$13,2,FALSE),0)</f>
        <v>10.8</v>
      </c>
      <c r="X53" s="12">
        <f t="shared" si="2"/>
        <v>0</v>
      </c>
      <c r="Y53" s="26">
        <f t="shared" si="3"/>
        <v>0</v>
      </c>
      <c r="Z53" s="12">
        <f t="shared" si="4"/>
        <v>0</v>
      </c>
      <c r="AA53" s="4" t="s">
        <v>10</v>
      </c>
      <c r="AB53" s="11">
        <f>IFERROR(VLOOKUP(AA53,Curr!$B$2:$C$13,2,FALSE),0)</f>
        <v>10.8</v>
      </c>
      <c r="AC53" s="12">
        <f t="shared" si="5"/>
        <v>0</v>
      </c>
      <c r="AD53" s="12">
        <f t="shared" si="6"/>
        <v>0</v>
      </c>
      <c r="AE53" s="13">
        <f t="shared" si="7"/>
        <v>0</v>
      </c>
    </row>
    <row r="54" spans="2:31" x14ac:dyDescent="0.25">
      <c r="B54" s="4"/>
      <c r="C54" s="1" t="s">
        <v>112</v>
      </c>
      <c r="D54" s="1" t="s">
        <v>56</v>
      </c>
      <c r="E54" s="3" t="s">
        <v>68</v>
      </c>
      <c r="F54" s="3"/>
      <c r="G54" s="24"/>
      <c r="H54" s="24"/>
      <c r="J54" s="1" t="s">
        <v>164</v>
      </c>
      <c r="K54" s="4"/>
      <c r="L54" s="4"/>
      <c r="M54" s="4"/>
      <c r="N54" s="4"/>
      <c r="O54" s="4"/>
      <c r="P54" s="33" t="s">
        <v>167</v>
      </c>
      <c r="Q54" s="25">
        <v>200</v>
      </c>
      <c r="R54" s="25">
        <v>4</v>
      </c>
      <c r="S54" s="12">
        <f t="shared" si="0"/>
        <v>800</v>
      </c>
      <c r="T54" s="5">
        <v>0</v>
      </c>
      <c r="U54" s="12">
        <f t="shared" si="1"/>
        <v>800</v>
      </c>
      <c r="V54" s="25" t="s">
        <v>8</v>
      </c>
      <c r="W54" s="11">
        <f>IFERROR(VLOOKUP(V54,Curr!$B$2:$C$13,2,FALSE),0)</f>
        <v>1</v>
      </c>
      <c r="X54" s="12">
        <f t="shared" si="2"/>
        <v>800</v>
      </c>
      <c r="Y54" s="26">
        <f>Q54/11/0.8</f>
        <v>22.727272727272727</v>
      </c>
      <c r="Z54" s="12">
        <f t="shared" si="4"/>
        <v>90.909090909090907</v>
      </c>
      <c r="AA54" s="4" t="s">
        <v>10</v>
      </c>
      <c r="AB54" s="11">
        <f>IFERROR(VLOOKUP(AA54,Curr!$B$2:$C$13,2,FALSE),0)</f>
        <v>10.8</v>
      </c>
      <c r="AC54" s="12">
        <f t="shared" si="5"/>
        <v>981.81818181818187</v>
      </c>
      <c r="AD54" s="12">
        <f t="shared" si="6"/>
        <v>181.81818181818187</v>
      </c>
      <c r="AE54" s="13">
        <f t="shared" si="7"/>
        <v>0.18518518518518523</v>
      </c>
    </row>
    <row r="55" spans="2:31" x14ac:dyDescent="0.25">
      <c r="B55" s="4"/>
      <c r="C55" s="1" t="s">
        <v>112</v>
      </c>
      <c r="D55" s="1" t="s">
        <v>51</v>
      </c>
      <c r="E55" s="3" t="s">
        <v>68</v>
      </c>
      <c r="F55" s="3"/>
      <c r="G55" s="24"/>
      <c r="H55" s="24"/>
      <c r="J55" s="1" t="s">
        <v>109</v>
      </c>
      <c r="K55" s="4"/>
      <c r="L55" s="4"/>
      <c r="M55" s="4"/>
      <c r="N55" s="4"/>
      <c r="O55" s="4"/>
      <c r="P55" s="33"/>
      <c r="Q55" s="25">
        <v>0</v>
      </c>
      <c r="R55" s="25">
        <v>0</v>
      </c>
      <c r="S55" s="12">
        <f t="shared" si="0"/>
        <v>0</v>
      </c>
      <c r="T55" s="5">
        <v>0</v>
      </c>
      <c r="U55" s="12">
        <f t="shared" si="1"/>
        <v>0</v>
      </c>
      <c r="V55" s="25" t="s">
        <v>10</v>
      </c>
      <c r="W55" s="11">
        <f>IFERROR(VLOOKUP(V55,Curr!$B$2:$C$13,2,FALSE),0)</f>
        <v>10.8</v>
      </c>
      <c r="X55" s="12">
        <f t="shared" si="2"/>
        <v>0</v>
      </c>
      <c r="Y55" s="26">
        <f t="shared" si="3"/>
        <v>0</v>
      </c>
      <c r="Z55" s="12">
        <f t="shared" si="4"/>
        <v>0</v>
      </c>
      <c r="AA55" s="4" t="s">
        <v>10</v>
      </c>
      <c r="AB55" s="11">
        <f>IFERROR(VLOOKUP(AA55,Curr!$B$2:$C$13,2,FALSE),0)</f>
        <v>10.8</v>
      </c>
      <c r="AC55" s="12">
        <f t="shared" si="5"/>
        <v>0</v>
      </c>
      <c r="AD55" s="12">
        <f t="shared" si="6"/>
        <v>0</v>
      </c>
      <c r="AE55" s="13">
        <f t="shared" si="7"/>
        <v>0</v>
      </c>
    </row>
    <row r="56" spans="2:31" x14ac:dyDescent="0.25">
      <c r="B56" s="4"/>
      <c r="C56" s="1" t="s">
        <v>112</v>
      </c>
      <c r="D56" s="1" t="s">
        <v>56</v>
      </c>
      <c r="E56" s="3" t="s">
        <v>68</v>
      </c>
      <c r="F56" s="3"/>
      <c r="G56" s="24"/>
      <c r="H56" s="24"/>
      <c r="J56" s="1" t="s">
        <v>165</v>
      </c>
      <c r="K56" s="4"/>
      <c r="L56" s="4"/>
      <c r="M56" s="4"/>
      <c r="N56" s="4"/>
      <c r="O56" s="4"/>
      <c r="P56" s="33" t="s">
        <v>163</v>
      </c>
      <c r="Q56" s="25">
        <v>75</v>
      </c>
      <c r="R56" s="25">
        <v>4</v>
      </c>
      <c r="S56" s="12">
        <f t="shared" si="0"/>
        <v>300</v>
      </c>
      <c r="T56" s="5">
        <v>0.2</v>
      </c>
      <c r="U56" s="12">
        <f t="shared" si="1"/>
        <v>240</v>
      </c>
      <c r="V56" s="25" t="s">
        <v>10</v>
      </c>
      <c r="W56" s="11">
        <f>IFERROR(VLOOKUP(V56,Curr!$B$2:$C$13,2,FALSE),0)</f>
        <v>10.8</v>
      </c>
      <c r="X56" s="12">
        <f t="shared" si="2"/>
        <v>2592</v>
      </c>
      <c r="Y56" s="26">
        <f t="shared" si="3"/>
        <v>75</v>
      </c>
      <c r="Z56" s="12">
        <f t="shared" si="4"/>
        <v>300</v>
      </c>
      <c r="AA56" s="4" t="s">
        <v>10</v>
      </c>
      <c r="AB56" s="11">
        <f>IFERROR(VLOOKUP(AA56,Curr!$B$2:$C$13,2,FALSE),0)</f>
        <v>10.8</v>
      </c>
      <c r="AC56" s="12">
        <f t="shared" si="5"/>
        <v>3240</v>
      </c>
      <c r="AD56" s="12">
        <f t="shared" si="6"/>
        <v>648</v>
      </c>
      <c r="AE56" s="13">
        <f t="shared" si="7"/>
        <v>0.2</v>
      </c>
    </row>
    <row r="57" spans="2:31" x14ac:dyDescent="0.25">
      <c r="B57" s="4"/>
      <c r="E57" s="3"/>
      <c r="F57" s="3"/>
      <c r="G57" s="24"/>
      <c r="H57" s="24"/>
      <c r="K57" s="4"/>
      <c r="L57" s="4"/>
      <c r="M57" s="4"/>
      <c r="N57" s="4"/>
      <c r="O57" s="4"/>
      <c r="P57" s="33"/>
      <c r="Q57" s="25"/>
      <c r="R57" s="25"/>
      <c r="S57" s="12">
        <f t="shared" si="0"/>
        <v>0</v>
      </c>
      <c r="T57" s="5">
        <v>0</v>
      </c>
      <c r="U57" s="12">
        <f t="shared" si="1"/>
        <v>0</v>
      </c>
      <c r="V57" s="25" t="s">
        <v>10</v>
      </c>
      <c r="W57" s="11">
        <f>IFERROR(VLOOKUP(V57,Curr!$B$2:$C$13,2,FALSE),0)</f>
        <v>10.8</v>
      </c>
      <c r="X57" s="12">
        <f t="shared" si="2"/>
        <v>0</v>
      </c>
      <c r="Y57" s="26">
        <f t="shared" si="3"/>
        <v>0</v>
      </c>
      <c r="Z57" s="12">
        <f t="shared" si="4"/>
        <v>0</v>
      </c>
      <c r="AA57" s="4" t="s">
        <v>10</v>
      </c>
      <c r="AB57" s="11">
        <f>IFERROR(VLOOKUP(AA57,Curr!$B$2:$C$13,2,FALSE),0)</f>
        <v>10.8</v>
      </c>
      <c r="AC57" s="12">
        <f t="shared" si="5"/>
        <v>0</v>
      </c>
      <c r="AD57" s="12">
        <f t="shared" si="6"/>
        <v>0</v>
      </c>
      <c r="AE57" s="13">
        <f t="shared" si="7"/>
        <v>0</v>
      </c>
    </row>
    <row r="58" spans="2:31" x14ac:dyDescent="0.25">
      <c r="B58" s="4"/>
      <c r="C58" s="1" t="s">
        <v>113</v>
      </c>
      <c r="D58" s="1" t="s">
        <v>49</v>
      </c>
      <c r="E58" s="3" t="s">
        <v>54</v>
      </c>
      <c r="F58" s="3"/>
      <c r="G58" s="24"/>
      <c r="H58" s="24"/>
      <c r="J58" s="1" t="s">
        <v>134</v>
      </c>
      <c r="K58" s="4"/>
      <c r="L58" s="4"/>
      <c r="M58" s="4"/>
      <c r="N58" s="4"/>
      <c r="O58" s="4"/>
      <c r="P58" s="33" t="s">
        <v>166</v>
      </c>
      <c r="Q58" s="25">
        <v>2290</v>
      </c>
      <c r="R58" s="25">
        <v>1</v>
      </c>
      <c r="S58" s="12">
        <f t="shared" si="0"/>
        <v>2290</v>
      </c>
      <c r="T58" s="5">
        <v>0.15</v>
      </c>
      <c r="U58" s="12">
        <f t="shared" si="1"/>
        <v>1946.5</v>
      </c>
      <c r="V58" s="25" t="s">
        <v>8</v>
      </c>
      <c r="W58" s="11">
        <f>IFERROR(VLOOKUP(V58,Curr!$B$2:$C$13,2,FALSE),0)</f>
        <v>1</v>
      </c>
      <c r="X58" s="12">
        <f t="shared" si="2"/>
        <v>1946.5</v>
      </c>
      <c r="Y58" s="26">
        <f>Q58/11/0.9</f>
        <v>231.31313131313132</v>
      </c>
      <c r="Z58" s="12">
        <f t="shared" si="4"/>
        <v>231.31313131313132</v>
      </c>
      <c r="AA58" s="4" t="s">
        <v>10</v>
      </c>
      <c r="AB58" s="11">
        <f>IFERROR(VLOOKUP(AA58,Curr!$B$2:$C$13,2,FALSE),0)</f>
        <v>10.8</v>
      </c>
      <c r="AC58" s="12">
        <f t="shared" si="5"/>
        <v>2498.1818181818185</v>
      </c>
      <c r="AD58" s="12">
        <f t="shared" si="6"/>
        <v>551.68181818181847</v>
      </c>
      <c r="AE58" s="13">
        <f t="shared" si="7"/>
        <v>0.22083333333333344</v>
      </c>
    </row>
    <row r="59" spans="2:31" x14ac:dyDescent="0.25">
      <c r="B59" s="4"/>
      <c r="C59" s="1" t="s">
        <v>113</v>
      </c>
      <c r="D59" s="1" t="s">
        <v>76</v>
      </c>
      <c r="E59" s="3" t="s">
        <v>54</v>
      </c>
      <c r="F59" s="3"/>
      <c r="G59" s="24"/>
      <c r="H59" s="24"/>
      <c r="J59" s="1" t="s">
        <v>168</v>
      </c>
      <c r="K59" s="4"/>
      <c r="L59" s="4"/>
      <c r="M59" s="4"/>
      <c r="N59" s="4"/>
      <c r="O59" s="4"/>
      <c r="P59" s="33" t="s">
        <v>169</v>
      </c>
      <c r="Q59" s="25">
        <v>849</v>
      </c>
      <c r="R59" s="25">
        <v>4</v>
      </c>
      <c r="S59" s="12">
        <f t="shared" si="0"/>
        <v>3396</v>
      </c>
      <c r="T59" s="5">
        <v>0</v>
      </c>
      <c r="U59" s="12">
        <f t="shared" si="1"/>
        <v>3396</v>
      </c>
      <c r="V59" s="25" t="s">
        <v>8</v>
      </c>
      <c r="W59" s="11">
        <f>IFERROR(VLOOKUP(V59,Curr!$B$2:$C$13,2,FALSE),0)</f>
        <v>1</v>
      </c>
      <c r="X59" s="12">
        <f t="shared" si="2"/>
        <v>3396</v>
      </c>
      <c r="Y59" s="26">
        <f>Q59/11/0.8</f>
        <v>96.477272727272734</v>
      </c>
      <c r="Z59" s="12">
        <f t="shared" si="4"/>
        <v>385.90909090909093</v>
      </c>
      <c r="AA59" s="4" t="s">
        <v>10</v>
      </c>
      <c r="AB59" s="11">
        <f>IFERROR(VLOOKUP(AA59,Curr!$B$2:$C$13,2,FALSE),0)</f>
        <v>10.8</v>
      </c>
      <c r="AC59" s="12">
        <f t="shared" si="5"/>
        <v>4167.818181818182</v>
      </c>
      <c r="AD59" s="12">
        <f t="shared" si="6"/>
        <v>771.81818181818198</v>
      </c>
      <c r="AE59" s="13">
        <f t="shared" si="7"/>
        <v>0.18518518518518523</v>
      </c>
    </row>
    <row r="60" spans="2:31" x14ac:dyDescent="0.25">
      <c r="B60" s="4"/>
      <c r="C60" s="1" t="s">
        <v>113</v>
      </c>
      <c r="D60" s="1" t="s">
        <v>49</v>
      </c>
      <c r="E60" s="3" t="s">
        <v>54</v>
      </c>
      <c r="F60" s="3"/>
      <c r="G60" s="24"/>
      <c r="H60" s="24"/>
      <c r="J60" s="1" t="s">
        <v>170</v>
      </c>
      <c r="K60" s="4"/>
      <c r="L60" s="4"/>
      <c r="M60" s="4"/>
      <c r="N60" s="4"/>
      <c r="O60" s="4"/>
      <c r="P60" s="33"/>
      <c r="Q60" s="25">
        <v>2290</v>
      </c>
      <c r="R60" s="25">
        <v>1</v>
      </c>
      <c r="S60" s="12">
        <f t="shared" si="0"/>
        <v>2290</v>
      </c>
      <c r="T60" s="5">
        <v>0</v>
      </c>
      <c r="U60" s="12">
        <f t="shared" si="1"/>
        <v>2290</v>
      </c>
      <c r="V60" s="25" t="s">
        <v>8</v>
      </c>
      <c r="W60" s="11">
        <f>IFERROR(VLOOKUP(V60,Curr!$B$2:$C$13,2,FALSE),0)</f>
        <v>1</v>
      </c>
      <c r="X60" s="12">
        <f t="shared" si="2"/>
        <v>2290</v>
      </c>
      <c r="Y60" s="26">
        <f>Q60/11/0.8</f>
        <v>260.22727272727269</v>
      </c>
      <c r="Z60" s="12">
        <f t="shared" si="4"/>
        <v>260.22727272727269</v>
      </c>
      <c r="AA60" s="4" t="s">
        <v>10</v>
      </c>
      <c r="AB60" s="11">
        <f>IFERROR(VLOOKUP(AA60,Curr!$B$2:$C$13,2,FALSE),0)</f>
        <v>10.8</v>
      </c>
      <c r="AC60" s="12">
        <f t="shared" si="5"/>
        <v>2810.454545454545</v>
      </c>
      <c r="AD60" s="12">
        <f t="shared" si="6"/>
        <v>520.45454545454504</v>
      </c>
      <c r="AE60" s="13">
        <f t="shared" si="7"/>
        <v>0.18518518518518506</v>
      </c>
    </row>
    <row r="61" spans="2:31" x14ac:dyDescent="0.25">
      <c r="B61" s="4"/>
      <c r="C61" s="1" t="s">
        <v>113</v>
      </c>
      <c r="D61" s="1" t="s">
        <v>50</v>
      </c>
      <c r="E61" s="3" t="s">
        <v>54</v>
      </c>
      <c r="F61" s="3"/>
      <c r="G61" s="24"/>
      <c r="H61" s="24"/>
      <c r="J61" s="1" t="s">
        <v>171</v>
      </c>
      <c r="K61" s="4"/>
      <c r="L61" s="4"/>
      <c r="M61" s="4"/>
      <c r="N61" s="4"/>
      <c r="O61" s="4"/>
      <c r="P61" s="33" t="s">
        <v>172</v>
      </c>
      <c r="Q61" s="25">
        <v>890</v>
      </c>
      <c r="R61" s="25">
        <v>1</v>
      </c>
      <c r="S61" s="12">
        <f t="shared" si="0"/>
        <v>890</v>
      </c>
      <c r="T61" s="5">
        <v>0</v>
      </c>
      <c r="U61" s="12">
        <f t="shared" si="1"/>
        <v>890</v>
      </c>
      <c r="V61" s="25" t="s">
        <v>10</v>
      </c>
      <c r="W61" s="11">
        <f>IFERROR(VLOOKUP(V61,Curr!$B$2:$C$13,2,FALSE),0)</f>
        <v>10.8</v>
      </c>
      <c r="X61" s="12">
        <f t="shared" si="2"/>
        <v>9612</v>
      </c>
      <c r="Y61" s="26">
        <f>Q61/0.85</f>
        <v>1047.0588235294117</v>
      </c>
      <c r="Z61" s="12">
        <f t="shared" si="4"/>
        <v>1047.0588235294117</v>
      </c>
      <c r="AA61" s="4" t="s">
        <v>10</v>
      </c>
      <c r="AB61" s="11">
        <f>IFERROR(VLOOKUP(AA61,Curr!$B$2:$C$13,2,FALSE),0)</f>
        <v>10.8</v>
      </c>
      <c r="AC61" s="12">
        <f t="shared" si="5"/>
        <v>11308.235294117647</v>
      </c>
      <c r="AD61" s="12">
        <f t="shared" si="6"/>
        <v>1696.2352941176468</v>
      </c>
      <c r="AE61" s="13">
        <f t="shared" si="7"/>
        <v>0.15</v>
      </c>
    </row>
    <row r="62" spans="2:31" x14ac:dyDescent="0.25">
      <c r="B62" s="4"/>
      <c r="C62" s="1" t="s">
        <v>113</v>
      </c>
      <c r="D62" s="1" t="s">
        <v>51</v>
      </c>
      <c r="E62" s="3" t="s">
        <v>54</v>
      </c>
      <c r="F62" s="3"/>
      <c r="G62" s="24"/>
      <c r="H62" s="24"/>
      <c r="J62" s="1" t="s">
        <v>114</v>
      </c>
      <c r="K62" s="4"/>
      <c r="L62" s="4"/>
      <c r="M62" s="4"/>
      <c r="N62" s="4"/>
      <c r="O62" s="4"/>
      <c r="P62" s="33"/>
      <c r="Q62" s="25">
        <v>0</v>
      </c>
      <c r="R62" s="25">
        <v>0</v>
      </c>
      <c r="S62" s="12">
        <f t="shared" si="0"/>
        <v>0</v>
      </c>
      <c r="T62" s="5">
        <v>0</v>
      </c>
      <c r="U62" s="12">
        <f t="shared" si="1"/>
        <v>0</v>
      </c>
      <c r="V62" s="25" t="s">
        <v>10</v>
      </c>
      <c r="W62" s="11">
        <f>IFERROR(VLOOKUP(V62,Curr!$B$2:$C$13,2,FALSE),0)</f>
        <v>10.8</v>
      </c>
      <c r="X62" s="12">
        <f t="shared" si="2"/>
        <v>0</v>
      </c>
      <c r="Y62" s="26">
        <f t="shared" si="3"/>
        <v>0</v>
      </c>
      <c r="Z62" s="12">
        <f t="shared" si="4"/>
        <v>0</v>
      </c>
      <c r="AA62" s="4" t="s">
        <v>10</v>
      </c>
      <c r="AB62" s="11">
        <f>IFERROR(VLOOKUP(AA62,Curr!$B$2:$C$13,2,FALSE),0)</f>
        <v>10.8</v>
      </c>
      <c r="AC62" s="12">
        <f t="shared" si="5"/>
        <v>0</v>
      </c>
      <c r="AD62" s="12">
        <f t="shared" si="6"/>
        <v>0</v>
      </c>
      <c r="AE62" s="13">
        <f t="shared" si="7"/>
        <v>0</v>
      </c>
    </row>
    <row r="63" spans="2:31" x14ac:dyDescent="0.25">
      <c r="B63" s="4"/>
      <c r="E63" s="3"/>
      <c r="F63" s="3"/>
      <c r="G63" s="24"/>
      <c r="H63" s="24"/>
      <c r="K63" s="4"/>
      <c r="L63" s="4"/>
      <c r="M63" s="4"/>
      <c r="N63" s="4"/>
      <c r="O63" s="4"/>
      <c r="P63" s="27"/>
      <c r="Q63" s="25">
        <v>0</v>
      </c>
      <c r="R63" s="25">
        <v>0</v>
      </c>
      <c r="S63" s="12">
        <f t="shared" si="0"/>
        <v>0</v>
      </c>
      <c r="T63" s="5">
        <v>0</v>
      </c>
      <c r="U63" s="12">
        <f t="shared" si="1"/>
        <v>0</v>
      </c>
      <c r="V63" s="25" t="s">
        <v>10</v>
      </c>
      <c r="W63" s="11">
        <f>IFERROR(VLOOKUP(V63,Curr!$B$2:$C$13,2,FALSE),0)</f>
        <v>10.8</v>
      </c>
      <c r="X63" s="12">
        <f t="shared" si="2"/>
        <v>0</v>
      </c>
      <c r="Y63" s="26">
        <f t="shared" si="3"/>
        <v>0</v>
      </c>
      <c r="Z63" s="12">
        <f t="shared" si="4"/>
        <v>0</v>
      </c>
      <c r="AA63" s="4" t="s">
        <v>10</v>
      </c>
      <c r="AB63" s="11">
        <f>IFERROR(VLOOKUP(AA63,Curr!$B$2:$C$13,2,FALSE),0)</f>
        <v>10.8</v>
      </c>
      <c r="AC63" s="12">
        <f t="shared" si="5"/>
        <v>0</v>
      </c>
      <c r="AD63" s="12">
        <f t="shared" si="6"/>
        <v>0</v>
      </c>
      <c r="AE63" s="13">
        <f t="shared" si="7"/>
        <v>0</v>
      </c>
    </row>
    <row r="64" spans="2:31" x14ac:dyDescent="0.25">
      <c r="B64" s="4"/>
      <c r="C64" s="1" t="s">
        <v>117</v>
      </c>
      <c r="D64" s="1" t="s">
        <v>56</v>
      </c>
      <c r="E64" s="3" t="s">
        <v>118</v>
      </c>
      <c r="F64" s="3"/>
      <c r="G64" s="24"/>
      <c r="H64" s="24"/>
      <c r="J64" s="1" t="s">
        <v>176</v>
      </c>
      <c r="K64" s="4"/>
      <c r="L64" s="4"/>
      <c r="M64" s="4"/>
      <c r="N64" s="4"/>
      <c r="O64" s="4"/>
      <c r="P64" s="33" t="s">
        <v>177</v>
      </c>
      <c r="Q64" s="25">
        <v>2139</v>
      </c>
      <c r="R64" s="25">
        <v>4</v>
      </c>
      <c r="S64" s="12">
        <f t="shared" si="0"/>
        <v>8556</v>
      </c>
      <c r="T64" s="5">
        <v>0</v>
      </c>
      <c r="U64" s="12">
        <f t="shared" si="1"/>
        <v>8556</v>
      </c>
      <c r="V64" s="25" t="s">
        <v>8</v>
      </c>
      <c r="W64" s="11">
        <f>IFERROR(VLOOKUP(V64,Curr!$B$2:$C$13,2,FALSE),0)</f>
        <v>1</v>
      </c>
      <c r="X64" s="12">
        <f t="shared" si="2"/>
        <v>8556</v>
      </c>
      <c r="Y64" s="26">
        <f>Q64/11/0.8</f>
        <v>243.06818181818181</v>
      </c>
      <c r="Z64" s="12">
        <f t="shared" si="4"/>
        <v>972.27272727272725</v>
      </c>
      <c r="AA64" s="4" t="s">
        <v>10</v>
      </c>
      <c r="AB64" s="11">
        <f>IFERROR(VLOOKUP(AA64,Curr!$B$2:$C$13,2,FALSE),0)</f>
        <v>10.8</v>
      </c>
      <c r="AC64" s="12">
        <f t="shared" si="5"/>
        <v>10500.545454545456</v>
      </c>
      <c r="AD64" s="12">
        <f t="shared" si="6"/>
        <v>1944.5454545454559</v>
      </c>
      <c r="AE64" s="13">
        <f t="shared" si="7"/>
        <v>0.18518518518518529</v>
      </c>
    </row>
    <row r="65" spans="2:31" x14ac:dyDescent="0.25">
      <c r="B65" s="4"/>
      <c r="C65" s="1" t="s">
        <v>117</v>
      </c>
      <c r="D65" s="1" t="s">
        <v>51</v>
      </c>
      <c r="E65" s="3" t="s">
        <v>118</v>
      </c>
      <c r="F65" s="3"/>
      <c r="G65" s="24"/>
      <c r="H65" s="24"/>
      <c r="J65" s="1" t="s">
        <v>114</v>
      </c>
      <c r="K65" s="4"/>
      <c r="L65" s="4"/>
      <c r="M65" s="4"/>
      <c r="N65" s="4"/>
      <c r="O65" s="4"/>
      <c r="P65" s="33"/>
      <c r="Q65" s="25">
        <v>0</v>
      </c>
      <c r="R65" s="25">
        <v>0</v>
      </c>
      <c r="S65" s="12">
        <f t="shared" si="0"/>
        <v>0</v>
      </c>
      <c r="T65" s="5">
        <v>0</v>
      </c>
      <c r="U65" s="12">
        <f t="shared" si="1"/>
        <v>0</v>
      </c>
      <c r="V65" s="25" t="s">
        <v>10</v>
      </c>
      <c r="W65" s="11">
        <f>IFERROR(VLOOKUP(V65,Curr!$B$2:$C$13,2,FALSE),0)</f>
        <v>10.8</v>
      </c>
      <c r="X65" s="12">
        <f t="shared" si="2"/>
        <v>0</v>
      </c>
      <c r="Y65" s="26">
        <f t="shared" si="3"/>
        <v>0</v>
      </c>
      <c r="Z65" s="12">
        <f t="shared" si="4"/>
        <v>0</v>
      </c>
      <c r="AA65" s="4" t="s">
        <v>10</v>
      </c>
      <c r="AB65" s="11">
        <f>IFERROR(VLOOKUP(AA65,Curr!$B$2:$C$13,2,FALSE),0)</f>
        <v>10.8</v>
      </c>
      <c r="AC65" s="12">
        <f t="shared" si="5"/>
        <v>0</v>
      </c>
      <c r="AD65" s="12">
        <f t="shared" si="6"/>
        <v>0</v>
      </c>
      <c r="AE65" s="13">
        <f t="shared" si="7"/>
        <v>0</v>
      </c>
    </row>
    <row r="66" spans="2:31" x14ac:dyDescent="0.25">
      <c r="B66" s="4"/>
      <c r="E66" s="3"/>
      <c r="F66" s="3"/>
      <c r="G66" s="24"/>
      <c r="H66" s="24"/>
      <c r="K66" s="4"/>
      <c r="L66" s="4"/>
      <c r="M66" s="4"/>
      <c r="N66" s="4"/>
      <c r="O66" s="4"/>
      <c r="P66" s="27"/>
      <c r="Q66" s="25"/>
      <c r="R66" s="25"/>
      <c r="S66" s="12">
        <f t="shared" si="0"/>
        <v>0</v>
      </c>
      <c r="T66" s="5">
        <v>0</v>
      </c>
      <c r="U66" s="12">
        <f t="shared" si="1"/>
        <v>0</v>
      </c>
      <c r="V66" s="25" t="s">
        <v>10</v>
      </c>
      <c r="W66" s="11">
        <f>IFERROR(VLOOKUP(V66,Curr!$B$2:$C$13,2,FALSE),0)</f>
        <v>10.8</v>
      </c>
      <c r="X66" s="12">
        <f t="shared" si="2"/>
        <v>0</v>
      </c>
      <c r="Y66" s="26">
        <f t="shared" si="3"/>
        <v>0</v>
      </c>
      <c r="Z66" s="12">
        <f t="shared" si="4"/>
        <v>0</v>
      </c>
      <c r="AA66" s="4" t="s">
        <v>10</v>
      </c>
      <c r="AB66" s="11">
        <f>IFERROR(VLOOKUP(AA66,Curr!$B$2:$C$13,2,FALSE),0)</f>
        <v>10.8</v>
      </c>
      <c r="AC66" s="12">
        <f t="shared" si="5"/>
        <v>0</v>
      </c>
      <c r="AD66" s="12">
        <f t="shared" si="6"/>
        <v>0</v>
      </c>
      <c r="AE66" s="13">
        <f t="shared" si="7"/>
        <v>0</v>
      </c>
    </row>
    <row r="67" spans="2:31" x14ac:dyDescent="0.25">
      <c r="B67" s="4"/>
      <c r="C67" s="1" t="s">
        <v>119</v>
      </c>
      <c r="D67" s="1" t="s">
        <v>49</v>
      </c>
      <c r="E67" s="3" t="s">
        <v>120</v>
      </c>
      <c r="F67" s="3"/>
      <c r="G67" s="24"/>
      <c r="H67" s="24"/>
      <c r="J67" s="1" t="s">
        <v>130</v>
      </c>
      <c r="K67" s="4"/>
      <c r="L67" s="4"/>
      <c r="M67" s="4"/>
      <c r="N67" s="4"/>
      <c r="O67" s="4"/>
      <c r="P67" s="33"/>
      <c r="Q67" s="25">
        <v>2290</v>
      </c>
      <c r="R67" s="25">
        <v>1</v>
      </c>
      <c r="S67" s="12">
        <f t="shared" ref="S67" si="17">+Q67*R67</f>
        <v>2290</v>
      </c>
      <c r="T67" s="5">
        <v>0</v>
      </c>
      <c r="U67" s="12">
        <f t="shared" ref="U67" si="18">S67*(1-T67)</f>
        <v>2290</v>
      </c>
      <c r="V67" s="25" t="s">
        <v>8</v>
      </c>
      <c r="W67" s="11">
        <f>IFERROR(VLOOKUP(V67,Curr!$B$2:$C$13,2,FALSE),0)</f>
        <v>1</v>
      </c>
      <c r="X67" s="12">
        <f t="shared" ref="X67" si="19">U67*W67</f>
        <v>2290</v>
      </c>
      <c r="Y67" s="26">
        <f>Q67/11/0.8</f>
        <v>260.22727272727269</v>
      </c>
      <c r="Z67" s="12">
        <f t="shared" si="4"/>
        <v>260.22727272727269</v>
      </c>
      <c r="AA67" s="4" t="s">
        <v>10</v>
      </c>
      <c r="AB67" s="11">
        <f>IFERROR(VLOOKUP(AA67,Curr!$B$2:$C$13,2,FALSE),0)</f>
        <v>10.8</v>
      </c>
      <c r="AC67" s="12">
        <f t="shared" si="5"/>
        <v>2810.454545454545</v>
      </c>
      <c r="AD67" s="12">
        <f t="shared" si="6"/>
        <v>520.45454545454504</v>
      </c>
      <c r="AE67" s="13">
        <f t="shared" si="7"/>
        <v>0.18518518518518506</v>
      </c>
    </row>
    <row r="68" spans="2:31" x14ac:dyDescent="0.25">
      <c r="B68" s="4"/>
      <c r="C68" s="1" t="s">
        <v>119</v>
      </c>
      <c r="D68" s="1" t="s">
        <v>76</v>
      </c>
      <c r="E68" s="3" t="s">
        <v>120</v>
      </c>
      <c r="F68" s="3"/>
      <c r="G68" s="24"/>
      <c r="H68" s="24"/>
      <c r="J68" s="1" t="s">
        <v>173</v>
      </c>
      <c r="K68" s="4"/>
      <c r="L68" s="4"/>
      <c r="M68" s="4"/>
      <c r="N68" s="4"/>
      <c r="O68" s="4"/>
      <c r="P68" s="33" t="s">
        <v>169</v>
      </c>
      <c r="Q68" s="25">
        <v>1900</v>
      </c>
      <c r="R68" s="25">
        <v>0</v>
      </c>
      <c r="S68" s="12">
        <f t="shared" si="0"/>
        <v>0</v>
      </c>
      <c r="T68" s="5">
        <v>0</v>
      </c>
      <c r="U68" s="12">
        <f t="shared" si="1"/>
        <v>0</v>
      </c>
      <c r="V68" s="25" t="s">
        <v>10</v>
      </c>
      <c r="W68" s="11">
        <f>IFERROR(VLOOKUP(V68,Curr!$B$2:$C$13,2,FALSE),0)</f>
        <v>10.8</v>
      </c>
      <c r="X68" s="12">
        <f t="shared" si="2"/>
        <v>0</v>
      </c>
      <c r="Y68" s="26">
        <f t="shared" si="3"/>
        <v>1900</v>
      </c>
      <c r="Z68" s="12">
        <f t="shared" si="4"/>
        <v>0</v>
      </c>
      <c r="AA68" s="4" t="s">
        <v>10</v>
      </c>
      <c r="AB68" s="11">
        <f>IFERROR(VLOOKUP(AA68,Curr!$B$2:$C$13,2,FALSE),0)</f>
        <v>10.8</v>
      </c>
      <c r="AC68" s="12">
        <f t="shared" si="5"/>
        <v>0</v>
      </c>
      <c r="AD68" s="12">
        <f t="shared" si="6"/>
        <v>0</v>
      </c>
      <c r="AE68" s="13">
        <f t="shared" si="7"/>
        <v>0</v>
      </c>
    </row>
    <row r="69" spans="2:31" x14ac:dyDescent="0.25">
      <c r="B69" s="4"/>
      <c r="C69" s="1" t="s">
        <v>119</v>
      </c>
      <c r="D69" s="1" t="s">
        <v>49</v>
      </c>
      <c r="E69" s="3" t="s">
        <v>120</v>
      </c>
      <c r="F69" s="3"/>
      <c r="G69" s="24"/>
      <c r="H69" s="24"/>
      <c r="J69" s="1" t="s">
        <v>174</v>
      </c>
      <c r="K69" s="4"/>
      <c r="L69" s="4"/>
      <c r="M69" s="4"/>
      <c r="N69" s="4"/>
      <c r="O69" s="4"/>
      <c r="P69" s="33"/>
      <c r="Q69" s="25">
        <v>0</v>
      </c>
      <c r="R69" s="25">
        <v>0</v>
      </c>
      <c r="S69" s="12">
        <f t="shared" si="0"/>
        <v>0</v>
      </c>
      <c r="T69" s="5">
        <v>0</v>
      </c>
      <c r="U69" s="12">
        <f t="shared" si="1"/>
        <v>0</v>
      </c>
      <c r="V69" s="25" t="s">
        <v>10</v>
      </c>
      <c r="W69" s="11">
        <f>IFERROR(VLOOKUP(V69,Curr!$B$2:$C$13,2,FALSE),0)</f>
        <v>10.8</v>
      </c>
      <c r="X69" s="12">
        <f t="shared" si="2"/>
        <v>0</v>
      </c>
      <c r="Y69" s="26">
        <f t="shared" si="3"/>
        <v>0</v>
      </c>
      <c r="Z69" s="12">
        <f t="shared" si="4"/>
        <v>0</v>
      </c>
      <c r="AA69" s="4" t="s">
        <v>10</v>
      </c>
      <c r="AB69" s="11">
        <f>IFERROR(VLOOKUP(AA69,Curr!$B$2:$C$13,2,FALSE),0)</f>
        <v>10.8</v>
      </c>
      <c r="AC69" s="12">
        <f t="shared" si="5"/>
        <v>0</v>
      </c>
      <c r="AD69" s="12">
        <f t="shared" si="6"/>
        <v>0</v>
      </c>
      <c r="AE69" s="13">
        <f t="shared" si="7"/>
        <v>0</v>
      </c>
    </row>
    <row r="70" spans="2:31" x14ac:dyDescent="0.25">
      <c r="B70" s="4"/>
      <c r="C70" s="1" t="s">
        <v>119</v>
      </c>
      <c r="D70" s="1" t="s">
        <v>50</v>
      </c>
      <c r="E70" s="3" t="s">
        <v>120</v>
      </c>
      <c r="F70" s="3"/>
      <c r="G70" s="24"/>
      <c r="H70" s="24"/>
      <c r="J70" s="1" t="s">
        <v>178</v>
      </c>
      <c r="K70" s="4"/>
      <c r="L70" s="4"/>
      <c r="M70" s="4"/>
      <c r="N70" s="4"/>
      <c r="O70" s="4"/>
      <c r="P70" s="33" t="s">
        <v>179</v>
      </c>
      <c r="Q70" s="25">
        <v>226</v>
      </c>
      <c r="R70" s="25">
        <v>1</v>
      </c>
      <c r="S70" s="12">
        <f t="shared" si="0"/>
        <v>226</v>
      </c>
      <c r="T70" s="5">
        <v>0</v>
      </c>
      <c r="U70" s="12">
        <f t="shared" si="1"/>
        <v>226</v>
      </c>
      <c r="V70" s="25" t="s">
        <v>10</v>
      </c>
      <c r="W70" s="11">
        <f>IFERROR(VLOOKUP(V70,Curr!$B$2:$C$13,2,FALSE),0)</f>
        <v>10.8</v>
      </c>
      <c r="X70" s="12">
        <f t="shared" si="2"/>
        <v>2440.8000000000002</v>
      </c>
      <c r="Y70" s="26">
        <f>Q70/0.85</f>
        <v>265.88235294117646</v>
      </c>
      <c r="Z70" s="12">
        <f t="shared" si="4"/>
        <v>265.88235294117646</v>
      </c>
      <c r="AA70" s="4" t="s">
        <v>10</v>
      </c>
      <c r="AB70" s="11">
        <f>IFERROR(VLOOKUP(AA70,Curr!$B$2:$C$13,2,FALSE),0)</f>
        <v>10.8</v>
      </c>
      <c r="AC70" s="12">
        <f t="shared" si="5"/>
        <v>2871.5294117647059</v>
      </c>
      <c r="AD70" s="12">
        <f t="shared" si="6"/>
        <v>430.72941176470567</v>
      </c>
      <c r="AE70" s="13">
        <f t="shared" si="7"/>
        <v>0.14999999999999994</v>
      </c>
    </row>
    <row r="71" spans="2:31" x14ac:dyDescent="0.25">
      <c r="B71" s="4"/>
      <c r="C71" s="1" t="s">
        <v>119</v>
      </c>
      <c r="D71" s="1" t="s">
        <v>51</v>
      </c>
      <c r="E71" s="3" t="s">
        <v>120</v>
      </c>
      <c r="F71" s="3"/>
      <c r="G71" s="24"/>
      <c r="H71" s="24"/>
      <c r="J71" s="1" t="s">
        <v>102</v>
      </c>
      <c r="K71" s="4"/>
      <c r="L71" s="4"/>
      <c r="M71" s="4"/>
      <c r="N71" s="4"/>
      <c r="O71" s="4"/>
      <c r="P71" s="33"/>
      <c r="Q71" s="25">
        <v>0</v>
      </c>
      <c r="R71" s="25">
        <v>0</v>
      </c>
      <c r="S71" s="12">
        <f t="shared" si="0"/>
        <v>0</v>
      </c>
      <c r="T71" s="5">
        <v>0</v>
      </c>
      <c r="U71" s="12">
        <f t="shared" si="1"/>
        <v>0</v>
      </c>
      <c r="V71" s="25" t="s">
        <v>10</v>
      </c>
      <c r="W71" s="11">
        <f>IFERROR(VLOOKUP(V71,Curr!$B$2:$C$13,2,FALSE),0)</f>
        <v>10.8</v>
      </c>
      <c r="X71" s="12">
        <f t="shared" si="2"/>
        <v>0</v>
      </c>
      <c r="Y71" s="26">
        <f t="shared" si="3"/>
        <v>0</v>
      </c>
      <c r="Z71" s="12">
        <f t="shared" si="4"/>
        <v>0</v>
      </c>
      <c r="AA71" s="4" t="s">
        <v>10</v>
      </c>
      <c r="AB71" s="11">
        <f>IFERROR(VLOOKUP(AA71,Curr!$B$2:$C$13,2,FALSE),0)</f>
        <v>10.8</v>
      </c>
      <c r="AC71" s="12">
        <f t="shared" si="5"/>
        <v>0</v>
      </c>
      <c r="AD71" s="12">
        <f t="shared" si="6"/>
        <v>0</v>
      </c>
      <c r="AE71" s="13">
        <f t="shared" si="7"/>
        <v>0</v>
      </c>
    </row>
    <row r="72" spans="2:31" x14ac:dyDescent="0.25">
      <c r="B72" s="4"/>
      <c r="E72" s="3"/>
      <c r="F72" s="3"/>
      <c r="G72" s="24"/>
      <c r="H72" s="24"/>
      <c r="K72" s="4"/>
      <c r="L72" s="4"/>
      <c r="M72" s="4"/>
      <c r="N72" s="4"/>
      <c r="O72" s="4"/>
      <c r="P72" s="33"/>
      <c r="Q72" s="25"/>
      <c r="R72" s="25"/>
      <c r="S72" s="12">
        <f t="shared" ref="S72:S82" si="20">+Q72*R72</f>
        <v>0</v>
      </c>
      <c r="T72" s="5">
        <v>0</v>
      </c>
      <c r="U72" s="12">
        <f t="shared" ref="U72:U82" si="21">S72*(1-T72)</f>
        <v>0</v>
      </c>
      <c r="V72" s="25" t="s">
        <v>10</v>
      </c>
      <c r="W72" s="11">
        <f>IFERROR(VLOOKUP(V72,Curr!$B$2:$C$13,2,FALSE),0)</f>
        <v>10.8</v>
      </c>
      <c r="X72" s="12">
        <f t="shared" ref="X72:X82" si="22">U72*W72</f>
        <v>0</v>
      </c>
      <c r="Y72" s="26">
        <f t="shared" ref="Y72:Y82" si="23">Q72</f>
        <v>0</v>
      </c>
      <c r="Z72" s="12">
        <f t="shared" ref="Z72:Z82" si="24">+Y72*R72</f>
        <v>0</v>
      </c>
      <c r="AA72" s="4" t="s">
        <v>10</v>
      </c>
      <c r="AB72" s="11">
        <f>IFERROR(VLOOKUP(AA72,Curr!$B$2:$C$13,2,FALSE),0)</f>
        <v>10.8</v>
      </c>
      <c r="AC72" s="12">
        <f t="shared" ref="AC72:AC82" si="25">+Y72*AB72*R72</f>
        <v>0</v>
      </c>
      <c r="AD72" s="12">
        <f t="shared" ref="AD72:AD82" si="26">+AC72-X72</f>
        <v>0</v>
      </c>
      <c r="AE72" s="13">
        <f t="shared" ref="AE72:AE82" si="27">IFERROR(AD72/AC72,0)</f>
        <v>0</v>
      </c>
    </row>
    <row r="73" spans="2:31" x14ac:dyDescent="0.25">
      <c r="B73" s="4"/>
      <c r="C73" s="1" t="s">
        <v>121</v>
      </c>
      <c r="D73" s="1" t="s">
        <v>49</v>
      </c>
      <c r="E73" s="3" t="s">
        <v>78</v>
      </c>
      <c r="F73" s="3"/>
      <c r="G73" s="24"/>
      <c r="H73" s="24"/>
      <c r="J73" s="1" t="s">
        <v>175</v>
      </c>
      <c r="K73" s="4"/>
      <c r="L73" s="4"/>
      <c r="M73" s="4"/>
      <c r="N73" s="4"/>
      <c r="O73" s="4"/>
      <c r="P73" s="27"/>
      <c r="Q73" s="25">
        <v>0</v>
      </c>
      <c r="R73" s="25">
        <v>0</v>
      </c>
      <c r="S73" s="12">
        <f t="shared" si="20"/>
        <v>0</v>
      </c>
      <c r="T73" s="5">
        <v>0</v>
      </c>
      <c r="U73" s="12">
        <f t="shared" si="21"/>
        <v>0</v>
      </c>
      <c r="V73" s="25" t="s">
        <v>10</v>
      </c>
      <c r="W73" s="11">
        <f>IFERROR(VLOOKUP(V73,Curr!$B$2:$C$13,2,FALSE),0)</f>
        <v>10.8</v>
      </c>
      <c r="X73" s="12">
        <f t="shared" si="22"/>
        <v>0</v>
      </c>
      <c r="Y73" s="26">
        <f t="shared" si="23"/>
        <v>0</v>
      </c>
      <c r="Z73" s="12">
        <f t="shared" si="24"/>
        <v>0</v>
      </c>
      <c r="AA73" s="4" t="s">
        <v>10</v>
      </c>
      <c r="AB73" s="11">
        <f>IFERROR(VLOOKUP(AA73,Curr!$B$2:$C$13,2,FALSE),0)</f>
        <v>10.8</v>
      </c>
      <c r="AC73" s="12">
        <f t="shared" si="25"/>
        <v>0</v>
      </c>
      <c r="AD73" s="12">
        <f t="shared" si="26"/>
        <v>0</v>
      </c>
      <c r="AE73" s="13">
        <f t="shared" si="27"/>
        <v>0</v>
      </c>
    </row>
    <row r="74" spans="2:31" x14ac:dyDescent="0.25">
      <c r="B74" s="4"/>
      <c r="C74" s="1" t="s">
        <v>121</v>
      </c>
      <c r="D74" s="1" t="s">
        <v>67</v>
      </c>
      <c r="E74" s="3" t="s">
        <v>78</v>
      </c>
      <c r="F74" s="3"/>
      <c r="G74" s="24"/>
      <c r="H74" s="24"/>
      <c r="J74" s="1" t="s">
        <v>122</v>
      </c>
      <c r="K74" s="4"/>
      <c r="L74" s="4"/>
      <c r="M74" s="4"/>
      <c r="N74" s="4"/>
      <c r="O74" s="4"/>
      <c r="P74" s="27"/>
      <c r="Q74" s="25">
        <v>0</v>
      </c>
      <c r="R74" s="25">
        <v>0</v>
      </c>
      <c r="S74" s="12">
        <f t="shared" si="20"/>
        <v>0</v>
      </c>
      <c r="T74" s="5">
        <v>0</v>
      </c>
      <c r="U74" s="12">
        <f t="shared" si="21"/>
        <v>0</v>
      </c>
      <c r="V74" s="25" t="s">
        <v>10</v>
      </c>
      <c r="W74" s="11">
        <f>IFERROR(VLOOKUP(V74,Curr!$B$2:$C$13,2,FALSE),0)</f>
        <v>10.8</v>
      </c>
      <c r="X74" s="12">
        <f t="shared" si="22"/>
        <v>0</v>
      </c>
      <c r="Y74" s="26">
        <f t="shared" si="23"/>
        <v>0</v>
      </c>
      <c r="Z74" s="12">
        <f t="shared" si="24"/>
        <v>0</v>
      </c>
      <c r="AA74" s="4" t="s">
        <v>10</v>
      </c>
      <c r="AB74" s="11">
        <f>IFERROR(VLOOKUP(AA74,Curr!$B$2:$C$13,2,FALSE),0)</f>
        <v>10.8</v>
      </c>
      <c r="AC74" s="12">
        <f t="shared" si="25"/>
        <v>0</v>
      </c>
      <c r="AD74" s="12">
        <f t="shared" si="26"/>
        <v>0</v>
      </c>
      <c r="AE74" s="13">
        <f t="shared" si="27"/>
        <v>0</v>
      </c>
    </row>
    <row r="75" spans="2:31" x14ac:dyDescent="0.25">
      <c r="B75" s="4"/>
      <c r="E75" s="3"/>
      <c r="F75" s="3"/>
      <c r="G75" s="24"/>
      <c r="H75" s="24"/>
      <c r="K75" s="4"/>
      <c r="L75" s="4"/>
      <c r="M75" s="4"/>
      <c r="N75" s="4"/>
      <c r="O75" s="4"/>
      <c r="P75" s="27"/>
      <c r="Q75" s="25"/>
      <c r="R75" s="25"/>
      <c r="S75" s="12">
        <f t="shared" si="20"/>
        <v>0</v>
      </c>
      <c r="T75" s="5">
        <v>0</v>
      </c>
      <c r="U75" s="12">
        <f t="shared" si="21"/>
        <v>0</v>
      </c>
      <c r="V75" s="25" t="s">
        <v>10</v>
      </c>
      <c r="W75" s="11">
        <f>IFERROR(VLOOKUP(V75,Curr!$B$2:$C$13,2,FALSE),0)</f>
        <v>10.8</v>
      </c>
      <c r="X75" s="12">
        <f t="shared" si="22"/>
        <v>0</v>
      </c>
      <c r="Y75" s="26">
        <f t="shared" si="23"/>
        <v>0</v>
      </c>
      <c r="Z75" s="12">
        <f t="shared" si="24"/>
        <v>0</v>
      </c>
      <c r="AA75" s="4" t="s">
        <v>10</v>
      </c>
      <c r="AB75" s="11">
        <f>IFERROR(VLOOKUP(AA75,Curr!$B$2:$C$13,2,FALSE),0)</f>
        <v>10.8</v>
      </c>
      <c r="AC75" s="12">
        <f t="shared" si="25"/>
        <v>0</v>
      </c>
      <c r="AD75" s="12">
        <f t="shared" si="26"/>
        <v>0</v>
      </c>
      <c r="AE75" s="13">
        <f t="shared" si="27"/>
        <v>0</v>
      </c>
    </row>
    <row r="76" spans="2:31" x14ac:dyDescent="0.25">
      <c r="B76" s="4"/>
      <c r="E76" s="3"/>
      <c r="F76" s="3"/>
      <c r="G76" s="24"/>
      <c r="H76" s="24"/>
      <c r="K76" s="4"/>
      <c r="L76" s="4"/>
      <c r="M76" s="4"/>
      <c r="N76" s="4"/>
      <c r="O76" s="4"/>
      <c r="P76" s="27"/>
      <c r="Q76" s="25"/>
      <c r="R76" s="25"/>
      <c r="S76" s="12">
        <f t="shared" si="20"/>
        <v>0</v>
      </c>
      <c r="T76" s="5">
        <v>0</v>
      </c>
      <c r="U76" s="12">
        <f t="shared" si="21"/>
        <v>0</v>
      </c>
      <c r="V76" s="25" t="s">
        <v>10</v>
      </c>
      <c r="W76" s="11">
        <f>IFERROR(VLOOKUP(V76,Curr!$B$2:$C$13,2,FALSE),0)</f>
        <v>10.8</v>
      </c>
      <c r="X76" s="12">
        <f t="shared" si="22"/>
        <v>0</v>
      </c>
      <c r="Y76" s="26">
        <f t="shared" si="23"/>
        <v>0</v>
      </c>
      <c r="Z76" s="12">
        <f t="shared" si="24"/>
        <v>0</v>
      </c>
      <c r="AA76" s="4" t="s">
        <v>10</v>
      </c>
      <c r="AB76" s="11">
        <f>IFERROR(VLOOKUP(AA76,Curr!$B$2:$C$13,2,FALSE),0)</f>
        <v>10.8</v>
      </c>
      <c r="AC76" s="12">
        <f t="shared" si="25"/>
        <v>0</v>
      </c>
      <c r="AD76" s="12">
        <f t="shared" si="26"/>
        <v>0</v>
      </c>
      <c r="AE76" s="13">
        <f t="shared" si="27"/>
        <v>0</v>
      </c>
    </row>
    <row r="77" spans="2:31" x14ac:dyDescent="0.25">
      <c r="B77" s="4"/>
      <c r="E77" s="3"/>
      <c r="F77" s="3"/>
      <c r="G77" s="24"/>
      <c r="H77" s="24"/>
      <c r="K77" s="4"/>
      <c r="L77" s="4"/>
      <c r="M77" s="4"/>
      <c r="N77" s="4"/>
      <c r="O77" s="4"/>
      <c r="P77" s="27"/>
      <c r="Q77" s="25"/>
      <c r="R77" s="25"/>
      <c r="S77" s="12">
        <f t="shared" si="20"/>
        <v>0</v>
      </c>
      <c r="T77" s="5">
        <v>0</v>
      </c>
      <c r="U77" s="12">
        <f t="shared" si="21"/>
        <v>0</v>
      </c>
      <c r="V77" s="25" t="s">
        <v>10</v>
      </c>
      <c r="W77" s="11">
        <f>IFERROR(VLOOKUP(V77,Curr!$B$2:$C$13,2,FALSE),0)</f>
        <v>10.8</v>
      </c>
      <c r="X77" s="12">
        <f t="shared" si="22"/>
        <v>0</v>
      </c>
      <c r="Y77" s="26">
        <f t="shared" si="23"/>
        <v>0</v>
      </c>
      <c r="Z77" s="12">
        <f t="shared" si="24"/>
        <v>0</v>
      </c>
      <c r="AA77" s="4" t="s">
        <v>10</v>
      </c>
      <c r="AB77" s="11">
        <f>IFERROR(VLOOKUP(AA77,Curr!$B$2:$C$13,2,FALSE),0)</f>
        <v>10.8</v>
      </c>
      <c r="AC77" s="12">
        <f t="shared" si="25"/>
        <v>0</v>
      </c>
      <c r="AD77" s="12">
        <f t="shared" si="26"/>
        <v>0</v>
      </c>
      <c r="AE77" s="13">
        <f t="shared" si="27"/>
        <v>0</v>
      </c>
    </row>
    <row r="78" spans="2:31" x14ac:dyDescent="0.25">
      <c r="B78" s="4"/>
      <c r="E78" s="3"/>
      <c r="F78" s="3"/>
      <c r="G78" s="24"/>
      <c r="H78" s="24"/>
      <c r="K78" s="4"/>
      <c r="L78" s="4"/>
      <c r="M78" s="4"/>
      <c r="N78" s="4"/>
      <c r="O78" s="4"/>
      <c r="P78" s="27"/>
      <c r="Q78" s="25"/>
      <c r="R78" s="25"/>
      <c r="S78" s="12">
        <f t="shared" si="20"/>
        <v>0</v>
      </c>
      <c r="T78" s="5">
        <v>0</v>
      </c>
      <c r="U78" s="12">
        <f t="shared" si="21"/>
        <v>0</v>
      </c>
      <c r="V78" s="25" t="s">
        <v>10</v>
      </c>
      <c r="W78" s="11">
        <f>IFERROR(VLOOKUP(V78,Curr!$B$2:$C$13,2,FALSE),0)</f>
        <v>10.8</v>
      </c>
      <c r="X78" s="12">
        <f t="shared" si="22"/>
        <v>0</v>
      </c>
      <c r="Y78" s="26">
        <f t="shared" si="23"/>
        <v>0</v>
      </c>
      <c r="Z78" s="12">
        <f t="shared" si="24"/>
        <v>0</v>
      </c>
      <c r="AA78" s="4" t="s">
        <v>10</v>
      </c>
      <c r="AB78" s="11">
        <f>IFERROR(VLOOKUP(AA78,Curr!$B$2:$C$13,2,FALSE),0)</f>
        <v>10.8</v>
      </c>
      <c r="AC78" s="12">
        <f t="shared" si="25"/>
        <v>0</v>
      </c>
      <c r="AD78" s="12">
        <f t="shared" si="26"/>
        <v>0</v>
      </c>
      <c r="AE78" s="13">
        <f t="shared" si="27"/>
        <v>0</v>
      </c>
    </row>
    <row r="79" spans="2:31" x14ac:dyDescent="0.25">
      <c r="B79" s="4"/>
      <c r="E79" s="3"/>
      <c r="F79" s="3"/>
      <c r="G79" s="24"/>
      <c r="H79" s="24"/>
      <c r="K79" s="4"/>
      <c r="L79" s="4"/>
      <c r="M79" s="4"/>
      <c r="N79" s="4"/>
      <c r="O79" s="4"/>
      <c r="P79" s="27"/>
      <c r="Q79" s="25"/>
      <c r="R79" s="25"/>
      <c r="S79" s="12">
        <f t="shared" si="20"/>
        <v>0</v>
      </c>
      <c r="T79" s="5">
        <v>0</v>
      </c>
      <c r="U79" s="12">
        <f t="shared" si="21"/>
        <v>0</v>
      </c>
      <c r="V79" s="25" t="s">
        <v>10</v>
      </c>
      <c r="W79" s="11">
        <f>IFERROR(VLOOKUP(V79,Curr!$B$2:$C$13,2,FALSE),0)</f>
        <v>10.8</v>
      </c>
      <c r="X79" s="12">
        <f t="shared" si="22"/>
        <v>0</v>
      </c>
      <c r="Y79" s="26">
        <f t="shared" si="23"/>
        <v>0</v>
      </c>
      <c r="Z79" s="12">
        <f t="shared" si="24"/>
        <v>0</v>
      </c>
      <c r="AA79" s="4" t="s">
        <v>10</v>
      </c>
      <c r="AB79" s="11">
        <f>IFERROR(VLOOKUP(AA79,Curr!$B$2:$C$13,2,FALSE),0)</f>
        <v>10.8</v>
      </c>
      <c r="AC79" s="12">
        <f t="shared" si="25"/>
        <v>0</v>
      </c>
      <c r="AD79" s="12">
        <f t="shared" si="26"/>
        <v>0</v>
      </c>
      <c r="AE79" s="13">
        <f t="shared" si="27"/>
        <v>0</v>
      </c>
    </row>
    <row r="80" spans="2:31" x14ac:dyDescent="0.25">
      <c r="B80" s="4"/>
      <c r="E80" s="3"/>
      <c r="F80" s="3"/>
      <c r="G80" s="24"/>
      <c r="H80" s="24"/>
      <c r="K80" s="4"/>
      <c r="L80" s="4"/>
      <c r="M80" s="4"/>
      <c r="N80" s="4"/>
      <c r="O80" s="4"/>
      <c r="P80" s="33"/>
      <c r="Q80" s="25"/>
      <c r="R80" s="25"/>
      <c r="S80" s="12">
        <f t="shared" si="20"/>
        <v>0</v>
      </c>
      <c r="T80" s="5">
        <v>0</v>
      </c>
      <c r="U80" s="12">
        <f t="shared" si="21"/>
        <v>0</v>
      </c>
      <c r="V80" s="25" t="s">
        <v>10</v>
      </c>
      <c r="W80" s="11">
        <f>IFERROR(VLOOKUP(V80,Curr!$B$2:$C$13,2,FALSE),0)</f>
        <v>10.8</v>
      </c>
      <c r="X80" s="12">
        <f t="shared" si="22"/>
        <v>0</v>
      </c>
      <c r="Y80" s="26">
        <f t="shared" si="23"/>
        <v>0</v>
      </c>
      <c r="Z80" s="12">
        <f t="shared" si="24"/>
        <v>0</v>
      </c>
      <c r="AA80" s="4" t="s">
        <v>10</v>
      </c>
      <c r="AB80" s="11">
        <f>IFERROR(VLOOKUP(AA80,Curr!$B$2:$C$13,2,FALSE),0)</f>
        <v>10.8</v>
      </c>
      <c r="AC80" s="12">
        <f t="shared" si="25"/>
        <v>0</v>
      </c>
      <c r="AD80" s="12">
        <f t="shared" si="26"/>
        <v>0</v>
      </c>
      <c r="AE80" s="13">
        <f t="shared" si="27"/>
        <v>0</v>
      </c>
    </row>
    <row r="81" spans="2:36" x14ac:dyDescent="0.25">
      <c r="B81" s="4"/>
      <c r="E81" s="3"/>
      <c r="F81" s="3"/>
      <c r="G81" s="24"/>
      <c r="H81" s="24"/>
      <c r="K81" s="4"/>
      <c r="L81" s="4"/>
      <c r="M81" s="4"/>
      <c r="N81" s="4"/>
      <c r="O81" s="4"/>
      <c r="P81" s="27"/>
      <c r="Q81" s="25"/>
      <c r="R81" s="25"/>
      <c r="S81" s="12">
        <f t="shared" si="20"/>
        <v>0</v>
      </c>
      <c r="T81" s="5">
        <v>0</v>
      </c>
      <c r="U81" s="12">
        <f t="shared" si="21"/>
        <v>0</v>
      </c>
      <c r="V81" s="25" t="s">
        <v>10</v>
      </c>
      <c r="W81" s="11">
        <f>IFERROR(VLOOKUP(V81,Curr!$B$2:$C$13,2,FALSE),0)</f>
        <v>10.8</v>
      </c>
      <c r="X81" s="12">
        <f t="shared" si="22"/>
        <v>0</v>
      </c>
      <c r="Y81" s="26">
        <f t="shared" si="23"/>
        <v>0</v>
      </c>
      <c r="Z81" s="12">
        <f t="shared" si="24"/>
        <v>0</v>
      </c>
      <c r="AA81" s="4" t="s">
        <v>10</v>
      </c>
      <c r="AB81" s="11">
        <f>IFERROR(VLOOKUP(AA81,Curr!$B$2:$C$13,2,FALSE),0)</f>
        <v>10.8</v>
      </c>
      <c r="AC81" s="12">
        <f t="shared" si="25"/>
        <v>0</v>
      </c>
      <c r="AD81" s="12">
        <f t="shared" si="26"/>
        <v>0</v>
      </c>
      <c r="AE81" s="13">
        <f t="shared" si="27"/>
        <v>0</v>
      </c>
    </row>
    <row r="82" spans="2:36" x14ac:dyDescent="0.25">
      <c r="B82" s="4"/>
      <c r="E82" s="3"/>
      <c r="F82" s="3"/>
      <c r="G82" s="24"/>
      <c r="H82" s="24"/>
      <c r="K82" s="4"/>
      <c r="L82" s="4"/>
      <c r="M82" s="4"/>
      <c r="N82" s="4"/>
      <c r="O82" s="4"/>
      <c r="P82" s="33"/>
      <c r="Q82" s="25"/>
      <c r="R82" s="25"/>
      <c r="S82" s="12">
        <f t="shared" si="20"/>
        <v>0</v>
      </c>
      <c r="T82" s="5">
        <v>0</v>
      </c>
      <c r="U82" s="12">
        <f t="shared" si="21"/>
        <v>0</v>
      </c>
      <c r="V82" s="25" t="s">
        <v>10</v>
      </c>
      <c r="W82" s="11">
        <f>IFERROR(VLOOKUP(V82,Curr!$B$2:$C$13,2,FALSE),0)</f>
        <v>10.8</v>
      </c>
      <c r="X82" s="12">
        <f t="shared" si="22"/>
        <v>0</v>
      </c>
      <c r="Y82" s="26">
        <f t="shared" si="23"/>
        <v>0</v>
      </c>
      <c r="Z82" s="12">
        <f t="shared" si="24"/>
        <v>0</v>
      </c>
      <c r="AA82" s="4" t="s">
        <v>10</v>
      </c>
      <c r="AB82" s="11">
        <f>IFERROR(VLOOKUP(AA82,Curr!$B$2:$C$13,2,FALSE),0)</f>
        <v>10.8</v>
      </c>
      <c r="AC82" s="12">
        <f t="shared" si="25"/>
        <v>0</v>
      </c>
      <c r="AD82" s="12">
        <f t="shared" si="26"/>
        <v>0</v>
      </c>
      <c r="AE82" s="13">
        <f t="shared" si="27"/>
        <v>0</v>
      </c>
    </row>
    <row r="83" spans="2:36" x14ac:dyDescent="0.25">
      <c r="B83" s="4"/>
      <c r="E83" s="3"/>
      <c r="F83" s="3"/>
      <c r="G83" s="3"/>
      <c r="H83" s="3"/>
      <c r="L83" s="4"/>
      <c r="M83" s="4"/>
      <c r="N83" s="4"/>
      <c r="O83" s="4"/>
      <c r="P83" s="22"/>
      <c r="Q83" s="4"/>
      <c r="R83" s="4"/>
      <c r="S83" s="4"/>
      <c r="T83" s="4"/>
      <c r="U83" s="4"/>
      <c r="V83" s="4"/>
      <c r="W83" s="4"/>
      <c r="X83" s="4"/>
      <c r="Y83" s="4"/>
      <c r="Z83" s="4"/>
      <c r="AA83" s="4"/>
      <c r="AB83" s="4"/>
      <c r="AC83" s="4"/>
      <c r="AD83" s="4"/>
      <c r="AE83" s="4"/>
      <c r="AF83" s="4"/>
    </row>
    <row r="84" spans="2:36" x14ac:dyDescent="0.25">
      <c r="B84" s="14" t="s">
        <v>18</v>
      </c>
      <c r="C84" s="14"/>
      <c r="D84" s="28" t="s">
        <v>42</v>
      </c>
      <c r="E84" s="30" t="s">
        <v>42</v>
      </c>
      <c r="F84" s="30" t="s">
        <v>42</v>
      </c>
      <c r="G84" s="30" t="s">
        <v>42</v>
      </c>
      <c r="H84" s="30" t="s">
        <v>42</v>
      </c>
      <c r="I84" s="28" t="s">
        <v>42</v>
      </c>
      <c r="J84" s="28" t="s">
        <v>42</v>
      </c>
      <c r="K84" s="28" t="s">
        <v>42</v>
      </c>
      <c r="L84" s="28" t="s">
        <v>42</v>
      </c>
      <c r="M84" s="28" t="s">
        <v>42</v>
      </c>
      <c r="N84" s="28" t="s">
        <v>42</v>
      </c>
      <c r="O84" s="28" t="s">
        <v>42</v>
      </c>
      <c r="P84" s="28" t="s">
        <v>42</v>
      </c>
      <c r="Q84" s="31" t="s">
        <v>42</v>
      </c>
      <c r="R84" s="28" t="s">
        <v>42</v>
      </c>
      <c r="S84" s="32" t="s">
        <v>42</v>
      </c>
      <c r="T84" s="28" t="s">
        <v>42</v>
      </c>
      <c r="U84" s="32" t="s">
        <v>42</v>
      </c>
      <c r="V84" s="28" t="s">
        <v>42</v>
      </c>
      <c r="W84" s="28" t="s">
        <v>42</v>
      </c>
      <c r="X84" s="32" t="s">
        <v>42</v>
      </c>
      <c r="Y84" s="32" t="s">
        <v>42</v>
      </c>
      <c r="Z84" s="15">
        <f>SUM(Z7:Z82)</f>
        <v>19701.395870469398</v>
      </c>
      <c r="AA84" s="14"/>
      <c r="AB84" s="14"/>
      <c r="AC84" s="15">
        <f>SUM(AC7:AC82)</f>
        <v>212775.07540106951</v>
      </c>
      <c r="AD84" s="15">
        <f>SUM(AD7:AD82)</f>
        <v>36933.515401069519</v>
      </c>
      <c r="AE84" s="21">
        <f t="shared" ref="AE84" si="28">IFERROR(AD84/AC84,0)</f>
        <v>0.17358008371728614</v>
      </c>
      <c r="AF84" s="15">
        <f>SUM(AF8:AF83)</f>
        <v>0</v>
      </c>
      <c r="AG84" s="15">
        <f>SUM(AG8:AG83)</f>
        <v>0</v>
      </c>
      <c r="AH84" s="15">
        <f>SUM(AH8:AH83)</f>
        <v>0</v>
      </c>
      <c r="AI84" s="15">
        <f>SUM(AI8:AI83)</f>
        <v>0</v>
      </c>
      <c r="AJ84" s="15">
        <f>SUM(AJ8:AJ83)</f>
        <v>0</v>
      </c>
    </row>
    <row r="85" spans="2:36" x14ac:dyDescent="0.25">
      <c r="B85" s="4"/>
      <c r="E85" s="3"/>
      <c r="F85" s="3"/>
      <c r="G85" s="3"/>
      <c r="H85" s="3"/>
      <c r="L85" s="4"/>
      <c r="M85" s="4"/>
      <c r="N85" s="4"/>
      <c r="O85" s="4"/>
      <c r="Q85" s="4"/>
      <c r="R85" s="4"/>
      <c r="S85" s="4"/>
      <c r="T85" s="4"/>
      <c r="U85" s="4"/>
      <c r="V85" s="4"/>
      <c r="W85" s="4"/>
      <c r="X85" s="4"/>
      <c r="Y85" s="9"/>
      <c r="Z85" s="9"/>
      <c r="AA85" s="9"/>
      <c r="AB85" s="9"/>
      <c r="AC85" s="9"/>
      <c r="AD85" s="9"/>
      <c r="AE85" s="9"/>
    </row>
    <row r="86" spans="2:36" x14ac:dyDescent="0.25">
      <c r="B86" s="4"/>
      <c r="E86" s="3"/>
      <c r="F86" s="3"/>
      <c r="G86" s="3"/>
      <c r="H86" s="3"/>
      <c r="L86" s="4"/>
      <c r="M86" s="4"/>
      <c r="N86" s="4"/>
      <c r="O86" s="4"/>
      <c r="Q86" s="9"/>
      <c r="R86" s="9"/>
      <c r="S86" s="9"/>
      <c r="T86" s="9"/>
      <c r="U86" s="9"/>
      <c r="V86" s="9"/>
      <c r="W86" s="9"/>
      <c r="X86" s="23"/>
      <c r="Y86" s="34" t="s">
        <v>43</v>
      </c>
      <c r="Z86" s="34">
        <v>19700</v>
      </c>
      <c r="AA86" s="9"/>
      <c r="AB86" s="9"/>
      <c r="AC86" s="9"/>
      <c r="AD86" s="9"/>
      <c r="AE86" s="9"/>
    </row>
    <row r="87" spans="2:36" x14ac:dyDescent="0.25">
      <c r="B87" s="4"/>
      <c r="E87" s="3"/>
      <c r="F87" s="3"/>
      <c r="G87" s="3"/>
      <c r="H87" s="3"/>
      <c r="L87" s="4"/>
      <c r="M87" s="4"/>
      <c r="N87" s="4"/>
      <c r="O87" s="4"/>
      <c r="Q87" s="9"/>
      <c r="R87" s="9"/>
      <c r="S87" s="9"/>
      <c r="T87" s="9"/>
      <c r="U87" s="9"/>
      <c r="V87" s="9"/>
      <c r="W87" s="9"/>
      <c r="X87" s="9"/>
      <c r="Y87" s="34" t="s">
        <v>44</v>
      </c>
      <c r="Z87" s="34">
        <f>Z86/4</f>
        <v>4925</v>
      </c>
      <c r="AA87" s="9"/>
      <c r="AB87" s="9"/>
      <c r="AC87" s="9"/>
      <c r="AD87" s="9"/>
      <c r="AE87" s="9"/>
      <c r="AF87" s="18"/>
    </row>
    <row r="88" spans="2:36" x14ac:dyDescent="0.25">
      <c r="B88" s="4"/>
      <c r="E88" s="3"/>
      <c r="F88" s="3"/>
      <c r="G88" s="3"/>
      <c r="H88" s="3"/>
      <c r="I88" s="19"/>
      <c r="J88" s="35"/>
      <c r="L88" s="4"/>
      <c r="M88" s="4"/>
      <c r="N88" s="4"/>
      <c r="O88" s="20"/>
      <c r="Q88" s="20"/>
      <c r="R88" s="20"/>
      <c r="S88" s="20"/>
      <c r="T88" s="20"/>
      <c r="U88" s="20"/>
      <c r="V88" s="20"/>
      <c r="W88" s="20"/>
      <c r="X88" s="20"/>
      <c r="Y88" s="9"/>
      <c r="Z88" s="9"/>
      <c r="AA88" s="9"/>
      <c r="AB88" s="9"/>
      <c r="AC88" s="9"/>
      <c r="AD88" s="9"/>
      <c r="AE88" s="9"/>
      <c r="AF88" s="18"/>
    </row>
    <row r="89" spans="2:36" x14ac:dyDescent="0.25">
      <c r="B89" s="4"/>
      <c r="E89" s="3"/>
      <c r="F89" s="3"/>
      <c r="G89" s="3"/>
      <c r="H89" s="3"/>
      <c r="L89" s="4"/>
      <c r="M89" s="4"/>
      <c r="N89" s="4"/>
      <c r="O89" s="20"/>
      <c r="Q89" s="20"/>
      <c r="R89" s="20"/>
      <c r="S89" s="20"/>
      <c r="T89" s="20"/>
      <c r="U89" s="20"/>
      <c r="V89" s="20"/>
      <c r="W89" s="20"/>
      <c r="X89" s="20"/>
      <c r="Y89" s="34" t="s">
        <v>31</v>
      </c>
      <c r="Z89" s="34">
        <v>23000</v>
      </c>
      <c r="AA89" s="9"/>
      <c r="AB89" s="9"/>
      <c r="AC89" s="9"/>
      <c r="AD89" s="9"/>
      <c r="AE89" s="9"/>
      <c r="AF89" s="18"/>
    </row>
    <row r="90" spans="2:36" x14ac:dyDescent="0.25">
      <c r="B90" s="4"/>
      <c r="E90" s="3"/>
      <c r="F90" s="3"/>
      <c r="G90" s="3"/>
      <c r="H90" s="3"/>
      <c r="L90" s="4"/>
      <c r="M90" s="4"/>
      <c r="N90" s="4"/>
      <c r="O90" s="4"/>
      <c r="Q90" s="9"/>
      <c r="R90" s="9"/>
      <c r="S90" s="9"/>
      <c r="T90" s="9"/>
      <c r="U90" s="9"/>
      <c r="V90" s="9"/>
      <c r="W90" s="9"/>
      <c r="X90" s="9"/>
      <c r="Y90" s="34" t="s">
        <v>44</v>
      </c>
      <c r="Z90" s="34">
        <f>Z89/4</f>
        <v>5750</v>
      </c>
      <c r="AA90" s="9"/>
      <c r="AB90" s="9"/>
      <c r="AC90" s="9"/>
      <c r="AD90" s="9"/>
      <c r="AE90" s="9"/>
      <c r="AF90" s="18"/>
    </row>
    <row r="91" spans="2:36" x14ac:dyDescent="0.25">
      <c r="F91" s="1"/>
      <c r="G91" s="1"/>
      <c r="H91" s="1"/>
      <c r="J91" s="1" t="s">
        <v>32</v>
      </c>
      <c r="Q91" s="9"/>
      <c r="R91" s="4"/>
      <c r="S91" s="9"/>
      <c r="T91" s="5"/>
      <c r="U91" s="9"/>
      <c r="V91" s="4"/>
      <c r="W91" s="4"/>
      <c r="X91" s="9"/>
      <c r="Y91" s="9"/>
      <c r="Z91" s="9"/>
      <c r="AA91" s="9"/>
      <c r="AB91" s="9"/>
      <c r="AC91" s="9"/>
      <c r="AD91" s="9"/>
      <c r="AE91" s="9"/>
    </row>
    <row r="92" spans="2:36" x14ac:dyDescent="0.25">
      <c r="R92" s="4"/>
      <c r="S92" s="17"/>
      <c r="T92" s="17"/>
      <c r="U92" s="9"/>
      <c r="V92" s="4"/>
      <c r="W92" s="4"/>
      <c r="X92" s="9"/>
      <c r="Y92" s="9"/>
      <c r="Z92" s="9"/>
      <c r="AA92" s="9"/>
      <c r="AB92" s="9"/>
      <c r="AC92" s="9"/>
      <c r="AD92" s="9"/>
      <c r="AE92" s="9"/>
    </row>
    <row r="93" spans="2:36" x14ac:dyDescent="0.25">
      <c r="Q93" s="9"/>
      <c r="R93" s="4"/>
      <c r="S93" s="16"/>
      <c r="T93" s="16"/>
      <c r="U93" s="9"/>
      <c r="V93" s="4"/>
      <c r="W93" s="4"/>
      <c r="X93" s="9"/>
      <c r="Y93" s="9"/>
      <c r="Z93" s="9"/>
      <c r="AA93" s="9"/>
      <c r="AB93" s="9"/>
      <c r="AC93" s="9"/>
      <c r="AD93" s="9"/>
      <c r="AE93" s="9"/>
    </row>
    <row r="94" spans="2:36" x14ac:dyDescent="0.25">
      <c r="R94" s="4"/>
      <c r="S94" s="16"/>
      <c r="T94" s="16"/>
      <c r="Y94" s="9"/>
      <c r="Z94" s="9"/>
      <c r="AA94" s="9"/>
      <c r="AB94" s="9"/>
      <c r="AC94" s="9"/>
      <c r="AD94" s="9"/>
      <c r="AE94" s="9"/>
    </row>
    <row r="95" spans="2:36" x14ac:dyDescent="0.25">
      <c r="T95" s="5"/>
      <c r="Y95" s="9"/>
      <c r="Z95" s="9"/>
      <c r="AA95" s="9"/>
      <c r="AB95" s="9"/>
      <c r="AC95" s="9"/>
      <c r="AD95" s="9"/>
      <c r="AE95" s="9"/>
    </row>
    <row r="96" spans="2:36" x14ac:dyDescent="0.25">
      <c r="T96" s="5"/>
      <c r="Y96" s="9"/>
      <c r="Z96" s="9"/>
      <c r="AA96" s="9"/>
      <c r="AB96" s="9"/>
      <c r="AC96" s="9"/>
      <c r="AD96" s="9"/>
      <c r="AE96" s="9"/>
    </row>
    <row r="97" spans="20:31" x14ac:dyDescent="0.25">
      <c r="T97" s="5"/>
      <c r="Y97" s="9"/>
      <c r="Z97" s="9"/>
      <c r="AA97" s="9"/>
      <c r="AB97" s="9"/>
      <c r="AC97" s="9"/>
      <c r="AD97" s="9"/>
      <c r="AE97" s="9"/>
    </row>
    <row r="98" spans="20:31" x14ac:dyDescent="0.25">
      <c r="T98" s="5"/>
      <c r="Y98" s="9"/>
      <c r="Z98" s="9"/>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row>
    <row r="104" spans="20:31" x14ac:dyDescent="0.25">
      <c r="T104" s="5"/>
    </row>
    <row r="105" spans="20:31" x14ac:dyDescent="0.25">
      <c r="T105" s="5"/>
    </row>
    <row r="106" spans="20:31" x14ac:dyDescent="0.25">
      <c r="T106" s="5"/>
    </row>
    <row r="107" spans="20:31" x14ac:dyDescent="0.25">
      <c r="T107" s="5"/>
    </row>
  </sheetData>
  <autoFilter ref="B6:AE84" xr:uid="{65FA6D9B-E0AF-46CD-BA0D-86BB75FE6AB0}"/>
  <hyperlinks>
    <hyperlink ref="P45" r:id="rId1" xr:uid="{36ED9F20-5388-4C0E-9570-C6E29009CB57}"/>
    <hyperlink ref="P10" r:id="rId2" xr:uid="{D83CF41C-8226-4B78-808B-DC184CA3A63A}"/>
    <hyperlink ref="P14" r:id="rId3" xr:uid="{583F53A7-542A-4975-81D4-249E2CD45480}"/>
    <hyperlink ref="P19" r:id="rId4" xr:uid="{20E43FFA-5B13-4E10-9304-BF0CB9F165B8}"/>
    <hyperlink ref="P17" r:id="rId5" xr:uid="{9AE7CAC4-EA42-448B-A6FE-7326203CF779}"/>
    <hyperlink ref="P22" r:id="rId6" xr:uid="{D7397CE8-91AC-413A-8B12-BA1AFF18D08B}"/>
    <hyperlink ref="P29" r:id="rId7" xr:uid="{AE4763E8-5501-45D7-B635-140BB54580A7}"/>
    <hyperlink ref="P25" r:id="rId8" xr:uid="{46DF542E-89A8-4131-9D5B-B39981BCA6E9}"/>
    <hyperlink ref="P27" r:id="rId9" xr:uid="{8DB1F228-3706-4E96-B03A-F1FDCFFF1C6C}"/>
    <hyperlink ref="P36" r:id="rId10" xr:uid="{C4F02644-1599-4D1F-9859-F19EF2D80748}"/>
    <hyperlink ref="P34" r:id="rId11" display="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xr:uid="{868B3145-50DA-470E-A005-E103E22A2F8D}"/>
    <hyperlink ref="P51" r:id="rId12" xr:uid="{A06420D6-EDC5-445C-8A0C-CD5CB33FA6E5}"/>
    <hyperlink ref="P39" r:id="rId13" xr:uid="{1BDB74C9-5041-49EE-BE95-4B7973EC3EC3}"/>
    <hyperlink ref="P43" r:id="rId14" xr:uid="{738F8875-5004-440D-AE93-4EE9804D8E41}"/>
    <hyperlink ref="P56" r:id="rId15" xr:uid="{2FCEC536-D798-4493-ADCA-E73351DD6D37}"/>
    <hyperlink ref="P58" r:id="rId16" xr:uid="{1F2ADE27-F441-4692-BCBD-FB1D152C56FC}"/>
    <hyperlink ref="P50" r:id="rId17" xr:uid="{E75508BC-CA26-488B-84BD-D73DBEE31397}"/>
    <hyperlink ref="P54" r:id="rId18" xr:uid="{50DE5C2F-74F5-4F76-8FA9-0015D7C56FA9}"/>
    <hyperlink ref="P59" r:id="rId19" location="/select-flight" xr:uid="{58072F1D-E3D7-4EF9-9A13-F8AAEE6C8B13}"/>
    <hyperlink ref="P68" r:id="rId20" location="/select-flight" xr:uid="{16A2CAE0-D8A3-4224-9D6C-C1B5978C7F66}"/>
    <hyperlink ref="P61" r:id="rId21" xr:uid="{0CDF9842-5940-4FB3-BD31-16D10F2DB05D}"/>
    <hyperlink ref="P64" r:id="rId22" xr:uid="{35ABD256-3F28-4EB2-BCEA-C5C5AF9A59AF}"/>
    <hyperlink ref="P70" r:id="rId23" xr:uid="{4CA3C7AC-1B19-4895-AAFB-B893C01AC5F9}"/>
  </hyperlinks>
  <pageMargins left="0.7" right="0.7" top="0.75" bottom="0.75" header="0.3" footer="0.3"/>
  <pageSetup paperSize="9" orientation="portrait" r:id="rId2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F80F-F212-4FA3-9A25-399C38B7D940}">
  <sheetPr>
    <tabColor rgb="FFFFFF00"/>
  </sheetPr>
  <dimension ref="B2:AK108"/>
  <sheetViews>
    <sheetView topLeftCell="A33" zoomScale="80" zoomScaleNormal="80" workbookViewId="0">
      <selection activeCell="P26" sqref="P26"/>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212</v>
      </c>
    </row>
    <row r="3" spans="2:36" x14ac:dyDescent="0.25">
      <c r="B3" s="2" t="s">
        <v>45</v>
      </c>
    </row>
    <row r="4" spans="2:36" x14ac:dyDescent="0.25">
      <c r="B4" s="2" t="s">
        <v>46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47</v>
      </c>
      <c r="D7" s="1" t="s">
        <v>48</v>
      </c>
      <c r="E7" s="3" t="s">
        <v>77</v>
      </c>
      <c r="F7" s="3"/>
      <c r="G7" s="3"/>
      <c r="H7" s="3"/>
      <c r="J7" s="1" t="s">
        <v>52</v>
      </c>
      <c r="K7" s="4"/>
      <c r="L7" s="4"/>
      <c r="M7" s="4"/>
      <c r="N7" s="4"/>
      <c r="O7" s="4"/>
      <c r="P7" s="27"/>
      <c r="Q7" s="25">
        <v>0</v>
      </c>
      <c r="R7" s="25">
        <v>0</v>
      </c>
      <c r="S7" s="12">
        <f t="shared" ref="S7" si="0">+Q7*R7</f>
        <v>0</v>
      </c>
      <c r="T7" s="5">
        <v>0</v>
      </c>
      <c r="U7" s="12">
        <f t="shared" ref="U7" si="1">S7*(1-T7)</f>
        <v>0</v>
      </c>
      <c r="V7" s="25" t="s">
        <v>10</v>
      </c>
      <c r="W7" s="11">
        <f>IFERROR(VLOOKUP(V7,Curr!$B$2:$C$13,2,FALSE),0)</f>
        <v>10.8</v>
      </c>
      <c r="X7" s="12">
        <f t="shared" ref="X7" si="2">U7*W7</f>
        <v>0</v>
      </c>
      <c r="Y7" s="26">
        <f t="shared" ref="Y7" si="3">Q7</f>
        <v>0</v>
      </c>
      <c r="Z7" s="12">
        <f t="shared" ref="Z7" si="4">+Y7*R7</f>
        <v>0</v>
      </c>
      <c r="AA7" s="4" t="s">
        <v>10</v>
      </c>
      <c r="AB7" s="11">
        <f>IFERROR(VLOOKUP(AA7,Curr!$B$2:$C$13,2,FALSE),0)</f>
        <v>10.8</v>
      </c>
      <c r="AC7" s="12">
        <f t="shared" ref="AC7" si="5">+Y7*AB7*R7</f>
        <v>0</v>
      </c>
      <c r="AD7" s="12">
        <f t="shared" ref="AD7" si="6">+AC7-X7</f>
        <v>0</v>
      </c>
      <c r="AE7" s="13">
        <f t="shared" ref="AE7" si="7">IFERROR(AD7/AC7,0)</f>
        <v>0</v>
      </c>
    </row>
    <row r="8" spans="2:36" x14ac:dyDescent="0.25">
      <c r="B8" s="4"/>
      <c r="C8" s="1" t="s">
        <v>47</v>
      </c>
      <c r="D8" s="1" t="s">
        <v>180</v>
      </c>
      <c r="E8" s="3" t="s">
        <v>77</v>
      </c>
      <c r="F8" s="3"/>
      <c r="G8" s="24"/>
      <c r="H8" s="24"/>
      <c r="J8" s="1" t="s">
        <v>181</v>
      </c>
      <c r="K8" s="4"/>
      <c r="L8" s="4"/>
      <c r="M8" s="4"/>
      <c r="N8" s="4"/>
      <c r="O8" s="4"/>
      <c r="P8" s="33"/>
      <c r="Q8" s="25">
        <v>160</v>
      </c>
      <c r="R8" s="25">
        <v>1</v>
      </c>
      <c r="S8" s="12">
        <f t="shared" ref="S8:S72" si="8">+Q8*R8</f>
        <v>160</v>
      </c>
      <c r="T8" s="5">
        <v>0.2</v>
      </c>
      <c r="U8" s="12">
        <f t="shared" ref="U8:U72" si="9">S8*(1-T8)</f>
        <v>128</v>
      </c>
      <c r="V8" s="25" t="s">
        <v>10</v>
      </c>
      <c r="W8" s="11">
        <f>IFERROR(VLOOKUP(V8,Curr!$B$2:$C$13,2,FALSE),0)</f>
        <v>10.8</v>
      </c>
      <c r="X8" s="12">
        <f t="shared" ref="X8:X72" si="10">U8*W8</f>
        <v>1382.4</v>
      </c>
      <c r="Y8" s="26">
        <f t="shared" ref="Y8:Y69" si="11">Q8</f>
        <v>160</v>
      </c>
      <c r="Z8" s="12">
        <f t="shared" ref="Z8:Z72" si="12">+Y8*R8</f>
        <v>160</v>
      </c>
      <c r="AA8" s="4" t="s">
        <v>10</v>
      </c>
      <c r="AB8" s="11">
        <f>IFERROR(VLOOKUP(AA8,Curr!$B$2:$C$13,2,FALSE),0)</f>
        <v>10.8</v>
      </c>
      <c r="AC8" s="12">
        <f t="shared" ref="AC8:AC72" si="13">+Y8*AB8*R8</f>
        <v>1728</v>
      </c>
      <c r="AD8" s="12">
        <f t="shared" ref="AD8:AD72" si="14">+AC8-X8</f>
        <v>345.59999999999991</v>
      </c>
      <c r="AE8" s="13">
        <f t="shared" ref="AE8:AE72" si="15">IFERROR(AD8/AC8,0)</f>
        <v>0.19999999999999996</v>
      </c>
    </row>
    <row r="9" spans="2:36" x14ac:dyDescent="0.25">
      <c r="B9" s="4"/>
      <c r="C9" s="1" t="s">
        <v>47</v>
      </c>
      <c r="D9" s="1" t="s">
        <v>50</v>
      </c>
      <c r="E9" s="3" t="s">
        <v>77</v>
      </c>
      <c r="F9" s="3" t="s">
        <v>79</v>
      </c>
      <c r="G9" s="24"/>
      <c r="H9" s="24"/>
      <c r="J9" s="1" t="s">
        <v>191</v>
      </c>
      <c r="K9" s="4"/>
      <c r="L9" s="4"/>
      <c r="M9" s="4"/>
      <c r="N9" s="4"/>
      <c r="O9" s="4"/>
      <c r="P9" s="33" t="s">
        <v>141</v>
      </c>
      <c r="Q9" s="25">
        <v>811</v>
      </c>
      <c r="R9" s="25">
        <v>1</v>
      </c>
      <c r="S9" s="12">
        <f t="shared" si="8"/>
        <v>811</v>
      </c>
      <c r="T9" s="5">
        <v>0</v>
      </c>
      <c r="U9" s="12">
        <f t="shared" si="9"/>
        <v>811</v>
      </c>
      <c r="V9" s="25" t="s">
        <v>10</v>
      </c>
      <c r="W9" s="11">
        <f>IFERROR(VLOOKUP(V9,Curr!$B$2:$C$13,2,FALSE),0)</f>
        <v>10.8</v>
      </c>
      <c r="X9" s="12">
        <f t="shared" si="10"/>
        <v>8758.8000000000011</v>
      </c>
      <c r="Y9" s="26">
        <f>Q9/0.8</f>
        <v>1013.75</v>
      </c>
      <c r="Z9" s="12">
        <f t="shared" si="12"/>
        <v>1013.75</v>
      </c>
      <c r="AA9" s="4" t="s">
        <v>10</v>
      </c>
      <c r="AB9" s="11">
        <f>IFERROR(VLOOKUP(AA9,Curr!$B$2:$C$13,2,FALSE),0)</f>
        <v>10.8</v>
      </c>
      <c r="AC9" s="12">
        <f t="shared" si="13"/>
        <v>10948.5</v>
      </c>
      <c r="AD9" s="12">
        <f t="shared" si="14"/>
        <v>2189.6999999999989</v>
      </c>
      <c r="AE9" s="13">
        <f t="shared" si="15"/>
        <v>0.1999999999999999</v>
      </c>
    </row>
    <row r="10" spans="2:36" x14ac:dyDescent="0.25">
      <c r="B10" s="4"/>
      <c r="C10" s="1" t="s">
        <v>47</v>
      </c>
      <c r="D10" s="1" t="s">
        <v>51</v>
      </c>
      <c r="E10" s="3" t="s">
        <v>77</v>
      </c>
      <c r="F10" s="3"/>
      <c r="G10" s="24"/>
      <c r="H10" s="24"/>
      <c r="J10" s="1" t="s">
        <v>53</v>
      </c>
      <c r="K10" s="4"/>
      <c r="L10" s="4"/>
      <c r="M10" s="4"/>
      <c r="N10" s="4"/>
      <c r="O10" s="4"/>
      <c r="P10" s="33"/>
      <c r="Q10" s="25">
        <v>0</v>
      </c>
      <c r="R10" s="25">
        <v>0</v>
      </c>
      <c r="S10" s="12">
        <f t="shared" si="8"/>
        <v>0</v>
      </c>
      <c r="T10" s="5">
        <v>0</v>
      </c>
      <c r="U10" s="12">
        <f t="shared" si="9"/>
        <v>0</v>
      </c>
      <c r="V10" s="25" t="s">
        <v>10</v>
      </c>
      <c r="W10" s="11">
        <f>IFERROR(VLOOKUP(V10,Curr!$B$2:$C$13,2,FALSE),0)</f>
        <v>10.8</v>
      </c>
      <c r="X10" s="12">
        <f t="shared" si="10"/>
        <v>0</v>
      </c>
      <c r="Y10" s="26">
        <f t="shared" ref="Y10" si="16">Q10</f>
        <v>0</v>
      </c>
      <c r="Z10" s="12">
        <f t="shared" si="12"/>
        <v>0</v>
      </c>
      <c r="AA10" s="4" t="s">
        <v>10</v>
      </c>
      <c r="AB10" s="11">
        <f>IFERROR(VLOOKUP(AA10,Curr!$B$2:$C$13,2,FALSE),0)</f>
        <v>10.8</v>
      </c>
      <c r="AC10" s="12">
        <f t="shared" si="13"/>
        <v>0</v>
      </c>
      <c r="AD10" s="12">
        <f t="shared" si="14"/>
        <v>0</v>
      </c>
      <c r="AE10" s="13">
        <f t="shared" si="15"/>
        <v>0</v>
      </c>
    </row>
    <row r="11" spans="2:36" x14ac:dyDescent="0.25">
      <c r="B11" s="4"/>
      <c r="E11" s="3"/>
      <c r="F11" s="3"/>
      <c r="G11" s="24"/>
      <c r="H11" s="24"/>
      <c r="K11" s="4"/>
      <c r="L11" s="4"/>
      <c r="M11" s="4"/>
      <c r="N11" s="4"/>
      <c r="O11" s="4"/>
      <c r="P11" s="33"/>
      <c r="Q11" s="25"/>
      <c r="R11" s="25"/>
      <c r="S11" s="12">
        <f t="shared" si="8"/>
        <v>0</v>
      </c>
      <c r="T11" s="5">
        <v>0</v>
      </c>
      <c r="U11" s="12">
        <f t="shared" si="9"/>
        <v>0</v>
      </c>
      <c r="V11" s="25" t="s">
        <v>10</v>
      </c>
      <c r="W11" s="11">
        <f>IFERROR(VLOOKUP(V11,Curr!$B$2:$C$13,2,FALSE),0)</f>
        <v>10.8</v>
      </c>
      <c r="X11" s="12">
        <f t="shared" si="10"/>
        <v>0</v>
      </c>
      <c r="Y11" s="26">
        <f t="shared" si="11"/>
        <v>0</v>
      </c>
      <c r="Z11" s="12">
        <f t="shared" si="12"/>
        <v>0</v>
      </c>
      <c r="AA11" s="4" t="s">
        <v>10</v>
      </c>
      <c r="AB11" s="11">
        <f>IFERROR(VLOOKUP(AA11,Curr!$B$2:$C$13,2,FALSE),0)</f>
        <v>10.8</v>
      </c>
      <c r="AC11" s="12">
        <f t="shared" si="13"/>
        <v>0</v>
      </c>
      <c r="AD11" s="12">
        <f t="shared" si="14"/>
        <v>0</v>
      </c>
      <c r="AE11" s="13">
        <f t="shared" si="15"/>
        <v>0</v>
      </c>
    </row>
    <row r="12" spans="2:36" x14ac:dyDescent="0.25">
      <c r="B12" s="4"/>
      <c r="C12" s="1" t="s">
        <v>55</v>
      </c>
      <c r="D12" s="1" t="s">
        <v>49</v>
      </c>
      <c r="E12" s="3" t="s">
        <v>79</v>
      </c>
      <c r="F12" s="3"/>
      <c r="G12" s="24"/>
      <c r="H12" s="24"/>
      <c r="J12" s="1" t="s">
        <v>182</v>
      </c>
      <c r="K12" s="4"/>
      <c r="L12" s="4"/>
      <c r="M12" s="4"/>
      <c r="N12" s="4"/>
      <c r="O12" s="4"/>
      <c r="P12" s="33"/>
      <c r="Q12" s="25">
        <v>0</v>
      </c>
      <c r="R12" s="25">
        <v>0</v>
      </c>
      <c r="S12" s="12">
        <f t="shared" si="8"/>
        <v>0</v>
      </c>
      <c r="T12" s="5">
        <v>0</v>
      </c>
      <c r="U12" s="12">
        <f t="shared" si="9"/>
        <v>0</v>
      </c>
      <c r="V12" s="25" t="s">
        <v>10</v>
      </c>
      <c r="W12" s="11">
        <f>IFERROR(VLOOKUP(V12,Curr!$B$2:$C$13,2,FALSE),0)</f>
        <v>10.8</v>
      </c>
      <c r="X12" s="12">
        <f t="shared" si="10"/>
        <v>0</v>
      </c>
      <c r="Y12" s="26">
        <f t="shared" si="11"/>
        <v>0</v>
      </c>
      <c r="Z12" s="12">
        <f t="shared" si="12"/>
        <v>0</v>
      </c>
      <c r="AA12" s="4" t="s">
        <v>10</v>
      </c>
      <c r="AB12" s="11">
        <f>IFERROR(VLOOKUP(AA12,Curr!$B$2:$C$13,2,FALSE),0)</f>
        <v>10.8</v>
      </c>
      <c r="AC12" s="12">
        <f t="shared" si="13"/>
        <v>0</v>
      </c>
      <c r="AD12" s="12">
        <f t="shared" si="14"/>
        <v>0</v>
      </c>
      <c r="AE12" s="13">
        <f t="shared" si="15"/>
        <v>0</v>
      </c>
    </row>
    <row r="13" spans="2:36" x14ac:dyDescent="0.25">
      <c r="B13" s="4"/>
      <c r="C13" s="1" t="s">
        <v>55</v>
      </c>
      <c r="D13" s="1" t="s">
        <v>74</v>
      </c>
      <c r="E13" s="3" t="s">
        <v>79</v>
      </c>
      <c r="F13" s="3"/>
      <c r="G13" s="24"/>
      <c r="H13" s="24"/>
      <c r="J13" s="1" t="s">
        <v>194</v>
      </c>
      <c r="K13" s="4"/>
      <c r="L13" s="4"/>
      <c r="M13" s="4"/>
      <c r="N13" s="4"/>
      <c r="O13" s="4"/>
      <c r="P13" s="33"/>
      <c r="Q13" s="25">
        <v>691</v>
      </c>
      <c r="R13" s="25">
        <v>1</v>
      </c>
      <c r="S13" s="12">
        <f t="shared" si="8"/>
        <v>691</v>
      </c>
      <c r="T13" s="5">
        <v>0</v>
      </c>
      <c r="U13" s="12">
        <f t="shared" si="9"/>
        <v>691</v>
      </c>
      <c r="V13" s="25" t="s">
        <v>10</v>
      </c>
      <c r="W13" s="11">
        <f>IFERROR(VLOOKUP(V13,Curr!$B$2:$C$13,2,FALSE),0)</f>
        <v>10.8</v>
      </c>
      <c r="X13" s="12">
        <f t="shared" si="10"/>
        <v>7462.8</v>
      </c>
      <c r="Y13" s="26">
        <f>Q13/0.8</f>
        <v>863.75</v>
      </c>
      <c r="Z13" s="12">
        <f t="shared" si="12"/>
        <v>863.75</v>
      </c>
      <c r="AA13" s="4" t="s">
        <v>10</v>
      </c>
      <c r="AB13" s="11">
        <f>IFERROR(VLOOKUP(AA13,Curr!$B$2:$C$13,2,FALSE),0)</f>
        <v>10.8</v>
      </c>
      <c r="AC13" s="12">
        <f t="shared" si="13"/>
        <v>9328.5</v>
      </c>
      <c r="AD13" s="12">
        <f t="shared" si="14"/>
        <v>1865.6999999999998</v>
      </c>
      <c r="AE13" s="13">
        <f t="shared" si="15"/>
        <v>0.19999999999999998</v>
      </c>
    </row>
    <row r="14" spans="2:36" x14ac:dyDescent="0.25">
      <c r="B14" s="4"/>
      <c r="C14" s="1" t="s">
        <v>55</v>
      </c>
      <c r="D14" s="1" t="s">
        <v>75</v>
      </c>
      <c r="E14" s="3" t="s">
        <v>79</v>
      </c>
      <c r="F14" s="3"/>
      <c r="G14" s="24"/>
      <c r="H14" s="24"/>
      <c r="J14" s="1" t="s">
        <v>183</v>
      </c>
      <c r="K14" s="4"/>
      <c r="L14" s="4"/>
      <c r="M14" s="4"/>
      <c r="N14" s="4"/>
      <c r="O14" s="4"/>
      <c r="P14" s="33"/>
      <c r="Q14" s="25">
        <v>0</v>
      </c>
      <c r="R14" s="25">
        <v>0</v>
      </c>
      <c r="S14" s="12">
        <f t="shared" si="8"/>
        <v>0</v>
      </c>
      <c r="T14" s="5">
        <v>0</v>
      </c>
      <c r="U14" s="12">
        <f t="shared" si="9"/>
        <v>0</v>
      </c>
      <c r="V14" s="25" t="s">
        <v>10</v>
      </c>
      <c r="W14" s="11">
        <f>IFERROR(VLOOKUP(V14,Curr!$B$2:$C$13,2,FALSE),0)</f>
        <v>10.8</v>
      </c>
      <c r="X14" s="12">
        <f t="shared" si="10"/>
        <v>0</v>
      </c>
      <c r="Y14" s="26">
        <f t="shared" si="11"/>
        <v>0</v>
      </c>
      <c r="Z14" s="12">
        <f t="shared" si="12"/>
        <v>0</v>
      </c>
      <c r="AA14" s="4" t="s">
        <v>10</v>
      </c>
      <c r="AB14" s="11">
        <f>IFERROR(VLOOKUP(AA14,Curr!$B$2:$C$13,2,FALSE),0)</f>
        <v>10.8</v>
      </c>
      <c r="AC14" s="12">
        <f t="shared" si="13"/>
        <v>0</v>
      </c>
      <c r="AD14" s="12">
        <f t="shared" si="14"/>
        <v>0</v>
      </c>
      <c r="AE14" s="13">
        <f t="shared" si="15"/>
        <v>0</v>
      </c>
    </row>
    <row r="15" spans="2:36" x14ac:dyDescent="0.25">
      <c r="B15" s="4"/>
      <c r="C15" s="1" t="s">
        <v>55</v>
      </c>
      <c r="D15" s="1" t="s">
        <v>50</v>
      </c>
      <c r="E15" s="3" t="s">
        <v>79</v>
      </c>
      <c r="F15" s="3" t="s">
        <v>83</v>
      </c>
      <c r="G15" s="24"/>
      <c r="H15" s="24"/>
      <c r="J15" s="1" t="s">
        <v>138</v>
      </c>
      <c r="K15" s="4"/>
      <c r="L15" s="4"/>
      <c r="M15" s="4"/>
      <c r="N15" s="4"/>
      <c r="O15" s="4"/>
      <c r="P15" s="33" t="s">
        <v>142</v>
      </c>
      <c r="Q15" s="25">
        <v>2232</v>
      </c>
      <c r="R15" s="25">
        <v>1</v>
      </c>
      <c r="S15" s="12">
        <f t="shared" si="8"/>
        <v>2232</v>
      </c>
      <c r="T15" s="5">
        <v>0</v>
      </c>
      <c r="U15" s="12">
        <f t="shared" si="9"/>
        <v>2232</v>
      </c>
      <c r="V15" s="25" t="s">
        <v>10</v>
      </c>
      <c r="W15" s="11">
        <f>IFERROR(VLOOKUP(V15,Curr!$B$2:$C$13,2,FALSE),0)</f>
        <v>10.8</v>
      </c>
      <c r="X15" s="12">
        <f t="shared" si="10"/>
        <v>24105.600000000002</v>
      </c>
      <c r="Y15" s="26">
        <f>Q15/0.85</f>
        <v>2625.8823529411766</v>
      </c>
      <c r="Z15" s="12">
        <f t="shared" si="12"/>
        <v>2625.8823529411766</v>
      </c>
      <c r="AA15" s="4" t="s">
        <v>10</v>
      </c>
      <c r="AB15" s="11">
        <f>IFERROR(VLOOKUP(AA15,Curr!$B$2:$C$13,2,FALSE),0)</f>
        <v>10.8</v>
      </c>
      <c r="AC15" s="12">
        <f t="shared" si="13"/>
        <v>28359.52941176471</v>
      </c>
      <c r="AD15" s="12">
        <f t="shared" si="14"/>
        <v>4253.9294117647078</v>
      </c>
      <c r="AE15" s="13">
        <f t="shared" si="15"/>
        <v>0.15000000000000005</v>
      </c>
    </row>
    <row r="16" spans="2:36" x14ac:dyDescent="0.25">
      <c r="B16" s="4"/>
      <c r="C16" s="1" t="s">
        <v>55</v>
      </c>
      <c r="D16" s="1" t="s">
        <v>51</v>
      </c>
      <c r="E16" s="3" t="s">
        <v>79</v>
      </c>
      <c r="F16" s="3"/>
      <c r="G16" s="24"/>
      <c r="H16" s="24"/>
      <c r="J16" s="1" t="s">
        <v>87</v>
      </c>
      <c r="K16" s="4"/>
      <c r="L16" s="4"/>
      <c r="M16" s="4"/>
      <c r="N16" s="4"/>
      <c r="O16" s="4"/>
      <c r="P16" s="33"/>
      <c r="Q16" s="25">
        <v>0</v>
      </c>
      <c r="R16" s="25">
        <v>0</v>
      </c>
      <c r="S16" s="12">
        <f t="shared" si="8"/>
        <v>0</v>
      </c>
      <c r="T16" s="5">
        <v>0</v>
      </c>
      <c r="U16" s="12">
        <f t="shared" si="9"/>
        <v>0</v>
      </c>
      <c r="V16" s="25" t="s">
        <v>10</v>
      </c>
      <c r="W16" s="11">
        <f>IFERROR(VLOOKUP(V16,Curr!$B$2:$C$13,2,FALSE),0)</f>
        <v>10.8</v>
      </c>
      <c r="X16" s="12">
        <f t="shared" si="10"/>
        <v>0</v>
      </c>
      <c r="Y16" s="26">
        <f t="shared" si="11"/>
        <v>0</v>
      </c>
      <c r="Z16" s="12">
        <f t="shared" si="12"/>
        <v>0</v>
      </c>
      <c r="AA16" s="4" t="s">
        <v>10</v>
      </c>
      <c r="AB16" s="11">
        <f>IFERROR(VLOOKUP(AA16,Curr!$B$2:$C$13,2,FALSE),0)</f>
        <v>10.8</v>
      </c>
      <c r="AC16" s="12">
        <f t="shared" si="13"/>
        <v>0</v>
      </c>
      <c r="AD16" s="12">
        <f t="shared" si="14"/>
        <v>0</v>
      </c>
      <c r="AE16" s="13">
        <f t="shared" si="15"/>
        <v>0</v>
      </c>
    </row>
    <row r="17" spans="2:31" x14ac:dyDescent="0.25">
      <c r="B17" s="4"/>
      <c r="E17" s="3"/>
      <c r="F17" s="3"/>
      <c r="G17" s="24"/>
      <c r="H17" s="24"/>
      <c r="K17" s="4"/>
      <c r="L17" s="4"/>
      <c r="M17" s="4"/>
      <c r="N17" s="4"/>
      <c r="O17" s="4"/>
      <c r="P17" s="33"/>
      <c r="Q17" s="25"/>
      <c r="R17" s="25"/>
      <c r="S17" s="12">
        <f t="shared" si="8"/>
        <v>0</v>
      </c>
      <c r="T17" s="5">
        <v>0</v>
      </c>
      <c r="U17" s="12">
        <f t="shared" si="9"/>
        <v>0</v>
      </c>
      <c r="V17" s="25" t="s">
        <v>10</v>
      </c>
      <c r="W17" s="11">
        <f>IFERROR(VLOOKUP(V17,Curr!$B$2:$C$13,2,FALSE),0)</f>
        <v>10.8</v>
      </c>
      <c r="X17" s="12">
        <f t="shared" si="10"/>
        <v>0</v>
      </c>
      <c r="Y17" s="26">
        <f t="shared" si="11"/>
        <v>0</v>
      </c>
      <c r="Z17" s="12">
        <f t="shared" si="12"/>
        <v>0</v>
      </c>
      <c r="AA17" s="4" t="s">
        <v>10</v>
      </c>
      <c r="AB17" s="11">
        <f>IFERROR(VLOOKUP(AA17,Curr!$B$2:$C$13,2,FALSE),0)</f>
        <v>10.8</v>
      </c>
      <c r="AC17" s="12">
        <f t="shared" si="13"/>
        <v>0</v>
      </c>
      <c r="AD17" s="12">
        <f t="shared" si="14"/>
        <v>0</v>
      </c>
      <c r="AE17" s="13">
        <f t="shared" si="15"/>
        <v>0</v>
      </c>
    </row>
    <row r="18" spans="2:31" x14ac:dyDescent="0.25">
      <c r="B18" s="4"/>
      <c r="C18" s="1" t="s">
        <v>57</v>
      </c>
      <c r="D18" s="1" t="s">
        <v>56</v>
      </c>
      <c r="E18" s="3" t="s">
        <v>82</v>
      </c>
      <c r="F18" s="3"/>
      <c r="G18" s="24"/>
      <c r="H18" s="24"/>
      <c r="J18" s="1" t="s">
        <v>143</v>
      </c>
      <c r="K18" s="4"/>
      <c r="L18" s="4"/>
      <c r="M18" s="4"/>
      <c r="N18" s="4"/>
      <c r="O18" s="4"/>
      <c r="P18" s="33" t="s">
        <v>72</v>
      </c>
      <c r="Q18" s="25">
        <v>46</v>
      </c>
      <c r="R18" s="25">
        <v>4</v>
      </c>
      <c r="S18" s="12">
        <f t="shared" si="8"/>
        <v>184</v>
      </c>
      <c r="T18" s="5">
        <v>0.2</v>
      </c>
      <c r="U18" s="12">
        <f t="shared" si="9"/>
        <v>147.20000000000002</v>
      </c>
      <c r="V18" s="25" t="s">
        <v>10</v>
      </c>
      <c r="W18" s="11">
        <f>IFERROR(VLOOKUP(V18,Curr!$B$2:$C$13,2,FALSE),0)</f>
        <v>10.8</v>
      </c>
      <c r="X18" s="12">
        <f t="shared" si="10"/>
        <v>1589.7600000000002</v>
      </c>
      <c r="Y18" s="26">
        <f t="shared" si="11"/>
        <v>46</v>
      </c>
      <c r="Z18" s="12">
        <f t="shared" si="12"/>
        <v>184</v>
      </c>
      <c r="AA18" s="4" t="s">
        <v>10</v>
      </c>
      <c r="AB18" s="11">
        <f>IFERROR(VLOOKUP(AA18,Curr!$B$2:$C$13,2,FALSE),0)</f>
        <v>10.8</v>
      </c>
      <c r="AC18" s="12">
        <f t="shared" si="13"/>
        <v>1987.2</v>
      </c>
      <c r="AD18" s="12">
        <f t="shared" si="14"/>
        <v>397.43999999999983</v>
      </c>
      <c r="AE18" s="13">
        <f t="shared" si="15"/>
        <v>0.1999999999999999</v>
      </c>
    </row>
    <row r="19" spans="2:31" x14ac:dyDescent="0.25">
      <c r="B19" s="4"/>
      <c r="C19" s="1" t="s">
        <v>57</v>
      </c>
      <c r="D19" s="1" t="s">
        <v>51</v>
      </c>
      <c r="E19" s="3" t="s">
        <v>82</v>
      </c>
      <c r="F19" s="3"/>
      <c r="G19" s="24"/>
      <c r="H19" s="24"/>
      <c r="J19" s="1" t="s">
        <v>87</v>
      </c>
      <c r="K19" s="4"/>
      <c r="L19" s="4"/>
      <c r="M19" s="4"/>
      <c r="N19" s="4"/>
      <c r="O19" s="4"/>
      <c r="P19" s="33"/>
      <c r="Q19" s="25">
        <v>0</v>
      </c>
      <c r="R19" s="25">
        <v>0</v>
      </c>
      <c r="S19" s="12">
        <f t="shared" si="8"/>
        <v>0</v>
      </c>
      <c r="T19" s="5">
        <v>0</v>
      </c>
      <c r="U19" s="12">
        <f t="shared" si="9"/>
        <v>0</v>
      </c>
      <c r="V19" s="25" t="s">
        <v>10</v>
      </c>
      <c r="W19" s="11">
        <f>IFERROR(VLOOKUP(V19,Curr!$B$2:$C$13,2,FALSE),0)</f>
        <v>10.8</v>
      </c>
      <c r="X19" s="12">
        <f t="shared" si="10"/>
        <v>0</v>
      </c>
      <c r="Y19" s="26">
        <f t="shared" si="11"/>
        <v>0</v>
      </c>
      <c r="Z19" s="12">
        <f t="shared" si="12"/>
        <v>0</v>
      </c>
      <c r="AA19" s="4" t="s">
        <v>10</v>
      </c>
      <c r="AB19" s="11">
        <f>IFERROR(VLOOKUP(AA19,Curr!$B$2:$C$13,2,FALSE),0)</f>
        <v>10.8</v>
      </c>
      <c r="AC19" s="12">
        <f t="shared" si="13"/>
        <v>0</v>
      </c>
      <c r="AD19" s="12">
        <f t="shared" si="14"/>
        <v>0</v>
      </c>
      <c r="AE19" s="13">
        <f t="shared" si="15"/>
        <v>0</v>
      </c>
    </row>
    <row r="20" spans="2:31" x14ac:dyDescent="0.25">
      <c r="B20" s="4"/>
      <c r="C20" s="1" t="s">
        <v>57</v>
      </c>
      <c r="D20" s="1" t="s">
        <v>56</v>
      </c>
      <c r="E20" s="3" t="s">
        <v>82</v>
      </c>
      <c r="F20" s="3"/>
      <c r="G20" s="24"/>
      <c r="H20" s="24"/>
      <c r="J20" s="1" t="s">
        <v>69</v>
      </c>
      <c r="K20" s="4"/>
      <c r="L20" s="4"/>
      <c r="M20" s="4"/>
      <c r="N20" s="4"/>
      <c r="O20" s="4"/>
      <c r="P20" s="33" t="s">
        <v>70</v>
      </c>
      <c r="Q20" s="25">
        <v>204</v>
      </c>
      <c r="R20" s="25">
        <v>4</v>
      </c>
      <c r="S20" s="12">
        <f t="shared" si="8"/>
        <v>816</v>
      </c>
      <c r="T20" s="5">
        <v>0.25</v>
      </c>
      <c r="U20" s="12">
        <f t="shared" si="9"/>
        <v>612</v>
      </c>
      <c r="V20" s="25" t="s">
        <v>10</v>
      </c>
      <c r="W20" s="11">
        <f>IFERROR(VLOOKUP(V20,Curr!$B$2:$C$13,2,FALSE),0)</f>
        <v>10.8</v>
      </c>
      <c r="X20" s="12">
        <f t="shared" si="10"/>
        <v>6609.6</v>
      </c>
      <c r="Y20" s="26">
        <f t="shared" si="11"/>
        <v>204</v>
      </c>
      <c r="Z20" s="12">
        <f t="shared" si="12"/>
        <v>816</v>
      </c>
      <c r="AA20" s="4" t="s">
        <v>10</v>
      </c>
      <c r="AB20" s="11">
        <f>IFERROR(VLOOKUP(AA20,Curr!$B$2:$C$13,2,FALSE),0)</f>
        <v>10.8</v>
      </c>
      <c r="AC20" s="12">
        <f t="shared" si="13"/>
        <v>8812.8000000000011</v>
      </c>
      <c r="AD20" s="12">
        <f t="shared" si="14"/>
        <v>2203.2000000000007</v>
      </c>
      <c r="AE20" s="13">
        <f t="shared" si="15"/>
        <v>0.25000000000000006</v>
      </c>
    </row>
    <row r="21" spans="2:31" x14ac:dyDescent="0.25">
      <c r="B21" s="4"/>
      <c r="E21" s="3"/>
      <c r="F21" s="3"/>
      <c r="G21" s="24"/>
      <c r="H21" s="24"/>
      <c r="K21" s="4"/>
      <c r="L21" s="4"/>
      <c r="M21" s="4"/>
      <c r="N21" s="4"/>
      <c r="O21" s="4"/>
      <c r="P21" s="33"/>
      <c r="Q21" s="25"/>
      <c r="R21" s="25"/>
      <c r="S21" s="12">
        <f t="shared" si="8"/>
        <v>0</v>
      </c>
      <c r="T21" s="5">
        <v>0</v>
      </c>
      <c r="U21" s="12">
        <f t="shared" si="9"/>
        <v>0</v>
      </c>
      <c r="V21" s="25" t="s">
        <v>10</v>
      </c>
      <c r="W21" s="11">
        <f>IFERROR(VLOOKUP(V21,Curr!$B$2:$C$13,2,FALSE),0)</f>
        <v>10.8</v>
      </c>
      <c r="X21" s="12">
        <f t="shared" si="10"/>
        <v>0</v>
      </c>
      <c r="Y21" s="26">
        <f t="shared" si="11"/>
        <v>0</v>
      </c>
      <c r="Z21" s="12">
        <f t="shared" si="12"/>
        <v>0</v>
      </c>
      <c r="AA21" s="4" t="s">
        <v>10</v>
      </c>
      <c r="AB21" s="11">
        <f>IFERROR(VLOOKUP(AA21,Curr!$B$2:$C$13,2,FALSE),0)</f>
        <v>10.8</v>
      </c>
      <c r="AC21" s="12">
        <f t="shared" si="13"/>
        <v>0</v>
      </c>
      <c r="AD21" s="12">
        <f t="shared" si="14"/>
        <v>0</v>
      </c>
      <c r="AE21" s="13">
        <f t="shared" si="15"/>
        <v>0</v>
      </c>
    </row>
    <row r="22" spans="2:31" x14ac:dyDescent="0.25">
      <c r="B22" s="4"/>
      <c r="C22" s="1" t="s">
        <v>60</v>
      </c>
      <c r="D22" s="1" t="s">
        <v>75</v>
      </c>
      <c r="E22" s="3" t="s">
        <v>83</v>
      </c>
      <c r="F22" s="3"/>
      <c r="G22" s="24"/>
      <c r="H22" s="24"/>
      <c r="J22" s="1" t="s">
        <v>186</v>
      </c>
      <c r="K22" s="4"/>
      <c r="L22" s="4"/>
      <c r="M22" s="4"/>
      <c r="N22" s="4"/>
      <c r="O22" s="4"/>
      <c r="P22" s="33"/>
      <c r="Q22" s="25">
        <v>0</v>
      </c>
      <c r="R22" s="25">
        <v>0</v>
      </c>
      <c r="S22" s="12">
        <f t="shared" si="8"/>
        <v>0</v>
      </c>
      <c r="T22" s="5">
        <v>0</v>
      </c>
      <c r="U22" s="12">
        <f t="shared" si="9"/>
        <v>0</v>
      </c>
      <c r="V22" s="25" t="s">
        <v>10</v>
      </c>
      <c r="W22" s="11">
        <f>IFERROR(VLOOKUP(V22,Curr!$B$2:$C$13,2,FALSE),0)</f>
        <v>10.8</v>
      </c>
      <c r="X22" s="12">
        <f t="shared" si="10"/>
        <v>0</v>
      </c>
      <c r="Y22" s="26">
        <f t="shared" si="11"/>
        <v>0</v>
      </c>
      <c r="Z22" s="12">
        <f t="shared" si="12"/>
        <v>0</v>
      </c>
      <c r="AA22" s="4" t="s">
        <v>10</v>
      </c>
      <c r="AB22" s="11">
        <f>IFERROR(VLOOKUP(AA22,Curr!$B$2:$C$13,2,FALSE),0)</f>
        <v>10.8</v>
      </c>
      <c r="AC22" s="12">
        <f t="shared" si="13"/>
        <v>0</v>
      </c>
      <c r="AD22" s="12">
        <f t="shared" si="14"/>
        <v>0</v>
      </c>
      <c r="AE22" s="13">
        <f t="shared" si="15"/>
        <v>0</v>
      </c>
    </row>
    <row r="23" spans="2:31" x14ac:dyDescent="0.25">
      <c r="B23" s="4"/>
      <c r="C23" s="1" t="s">
        <v>60</v>
      </c>
      <c r="D23" s="1" t="s">
        <v>50</v>
      </c>
      <c r="E23" s="3" t="s">
        <v>83</v>
      </c>
      <c r="F23" s="3" t="s">
        <v>91</v>
      </c>
      <c r="G23" s="24"/>
      <c r="H23" s="24"/>
      <c r="J23" s="1" t="s">
        <v>184</v>
      </c>
      <c r="K23" s="4"/>
      <c r="L23" s="4"/>
      <c r="M23" s="4"/>
      <c r="N23" s="4"/>
      <c r="O23" s="4"/>
      <c r="P23" s="33" t="s">
        <v>190</v>
      </c>
      <c r="Q23" s="25">
        <v>694</v>
      </c>
      <c r="R23" s="25">
        <v>1</v>
      </c>
      <c r="S23" s="12">
        <f t="shared" si="8"/>
        <v>694</v>
      </c>
      <c r="T23" s="5">
        <v>0</v>
      </c>
      <c r="U23" s="12">
        <f t="shared" si="9"/>
        <v>694</v>
      </c>
      <c r="V23" s="25" t="s">
        <v>10</v>
      </c>
      <c r="W23" s="11">
        <f>IFERROR(VLOOKUP(V23,Curr!$B$2:$C$13,2,FALSE),0)</f>
        <v>10.8</v>
      </c>
      <c r="X23" s="12">
        <f t="shared" si="10"/>
        <v>7495.2000000000007</v>
      </c>
      <c r="Y23" s="26">
        <f>Q23/0.85</f>
        <v>816.47058823529414</v>
      </c>
      <c r="Z23" s="12">
        <f t="shared" si="12"/>
        <v>816.47058823529414</v>
      </c>
      <c r="AA23" s="4" t="s">
        <v>10</v>
      </c>
      <c r="AB23" s="11">
        <f>IFERROR(VLOOKUP(AA23,Curr!$B$2:$C$13,2,FALSE),0)</f>
        <v>10.8</v>
      </c>
      <c r="AC23" s="12">
        <f t="shared" si="13"/>
        <v>8817.8823529411766</v>
      </c>
      <c r="AD23" s="12">
        <f t="shared" si="14"/>
        <v>1322.6823529411758</v>
      </c>
      <c r="AE23" s="13">
        <f t="shared" si="15"/>
        <v>0.14999999999999994</v>
      </c>
    </row>
    <row r="24" spans="2:31" x14ac:dyDescent="0.25">
      <c r="B24" s="4"/>
      <c r="C24" s="1" t="s">
        <v>60</v>
      </c>
      <c r="D24" s="1" t="s">
        <v>51</v>
      </c>
      <c r="E24" s="3" t="s">
        <v>83</v>
      </c>
      <c r="F24" s="3"/>
      <c r="G24" s="24"/>
      <c r="H24" s="24"/>
      <c r="J24" s="1" t="s">
        <v>185</v>
      </c>
      <c r="K24" s="4"/>
      <c r="L24" s="4"/>
      <c r="M24" s="4"/>
      <c r="N24" s="4"/>
      <c r="O24" s="4"/>
      <c r="P24" s="33"/>
      <c r="Q24" s="25">
        <v>0</v>
      </c>
      <c r="R24" s="25">
        <v>0</v>
      </c>
      <c r="S24" s="12">
        <f t="shared" si="8"/>
        <v>0</v>
      </c>
      <c r="T24" s="5">
        <v>0</v>
      </c>
      <c r="U24" s="12">
        <f t="shared" si="9"/>
        <v>0</v>
      </c>
      <c r="V24" s="25" t="s">
        <v>10</v>
      </c>
      <c r="W24" s="11">
        <f>IFERROR(VLOOKUP(V24,Curr!$B$2:$C$13,2,FALSE),0)</f>
        <v>10.8</v>
      </c>
      <c r="X24" s="12">
        <f t="shared" si="10"/>
        <v>0</v>
      </c>
      <c r="Y24" s="26">
        <f t="shared" si="11"/>
        <v>0</v>
      </c>
      <c r="Z24" s="12">
        <f t="shared" si="12"/>
        <v>0</v>
      </c>
      <c r="AA24" s="4" t="s">
        <v>10</v>
      </c>
      <c r="AB24" s="11">
        <f>IFERROR(VLOOKUP(AA24,Curr!$B$2:$C$13,2,FALSE),0)</f>
        <v>10.8</v>
      </c>
      <c r="AC24" s="12">
        <f t="shared" si="13"/>
        <v>0</v>
      </c>
      <c r="AD24" s="12">
        <f t="shared" si="14"/>
        <v>0</v>
      </c>
      <c r="AE24" s="13">
        <f t="shared" si="15"/>
        <v>0</v>
      </c>
    </row>
    <row r="25" spans="2:31" x14ac:dyDescent="0.25">
      <c r="B25" s="4"/>
      <c r="E25" s="3"/>
      <c r="F25" s="3"/>
      <c r="G25" s="24"/>
      <c r="H25" s="24"/>
      <c r="K25" s="4"/>
      <c r="L25" s="4"/>
      <c r="M25" s="4"/>
      <c r="N25" s="4"/>
      <c r="O25" s="4"/>
      <c r="P25" s="33"/>
      <c r="Q25" s="25"/>
      <c r="R25" s="25"/>
      <c r="S25" s="12">
        <f t="shared" si="8"/>
        <v>0</v>
      </c>
      <c r="T25" s="5">
        <v>0</v>
      </c>
      <c r="U25" s="12">
        <f t="shared" si="9"/>
        <v>0</v>
      </c>
      <c r="V25" s="25" t="s">
        <v>10</v>
      </c>
      <c r="W25" s="11">
        <f>IFERROR(VLOOKUP(V25,Curr!$B$2:$C$13,2,FALSE),0)</f>
        <v>10.8</v>
      </c>
      <c r="X25" s="12">
        <f t="shared" si="10"/>
        <v>0</v>
      </c>
      <c r="Y25" s="26">
        <f t="shared" si="11"/>
        <v>0</v>
      </c>
      <c r="Z25" s="12">
        <f t="shared" si="12"/>
        <v>0</v>
      </c>
      <c r="AA25" s="4" t="s">
        <v>10</v>
      </c>
      <c r="AB25" s="11">
        <f>IFERROR(VLOOKUP(AA25,Curr!$B$2:$C$13,2,FALSE),0)</f>
        <v>10.8</v>
      </c>
      <c r="AC25" s="12">
        <f t="shared" si="13"/>
        <v>0</v>
      </c>
      <c r="AD25" s="12">
        <f t="shared" si="14"/>
        <v>0</v>
      </c>
      <c r="AE25" s="13">
        <f t="shared" si="15"/>
        <v>0</v>
      </c>
    </row>
    <row r="26" spans="2:31" x14ac:dyDescent="0.25">
      <c r="B26" s="4"/>
      <c r="C26" s="1" t="s">
        <v>62</v>
      </c>
      <c r="D26" s="1" t="s">
        <v>75</v>
      </c>
      <c r="E26" s="3" t="s">
        <v>91</v>
      </c>
      <c r="F26" s="3"/>
      <c r="G26" s="24"/>
      <c r="H26" s="24"/>
      <c r="J26" s="1" t="s">
        <v>187</v>
      </c>
      <c r="K26" s="4"/>
      <c r="L26" s="4"/>
      <c r="M26" s="4"/>
      <c r="N26" s="4"/>
      <c r="O26" s="4"/>
      <c r="P26" s="33" t="s">
        <v>189</v>
      </c>
      <c r="Q26" s="25">
        <v>0</v>
      </c>
      <c r="R26" s="25">
        <v>0</v>
      </c>
      <c r="S26" s="12">
        <f t="shared" si="8"/>
        <v>0</v>
      </c>
      <c r="T26" s="5">
        <v>0</v>
      </c>
      <c r="U26" s="12">
        <f t="shared" si="9"/>
        <v>0</v>
      </c>
      <c r="V26" s="25" t="s">
        <v>10</v>
      </c>
      <c r="W26" s="11">
        <f>IFERROR(VLOOKUP(V26,Curr!$B$2:$C$13,2,FALSE),0)</f>
        <v>10.8</v>
      </c>
      <c r="X26" s="12">
        <f t="shared" si="10"/>
        <v>0</v>
      </c>
      <c r="Y26" s="26">
        <f t="shared" si="11"/>
        <v>0</v>
      </c>
      <c r="Z26" s="12">
        <f t="shared" si="12"/>
        <v>0</v>
      </c>
      <c r="AA26" s="4" t="s">
        <v>10</v>
      </c>
      <c r="AB26" s="11">
        <f>IFERROR(VLOOKUP(AA26,Curr!$B$2:$C$13,2,FALSE),0)</f>
        <v>10.8</v>
      </c>
      <c r="AC26" s="12">
        <f t="shared" si="13"/>
        <v>0</v>
      </c>
      <c r="AD26" s="12">
        <f t="shared" si="14"/>
        <v>0</v>
      </c>
      <c r="AE26" s="13">
        <f t="shared" si="15"/>
        <v>0</v>
      </c>
    </row>
    <row r="27" spans="2:31" x14ac:dyDescent="0.25">
      <c r="B27" s="4"/>
      <c r="C27" s="1" t="s">
        <v>62</v>
      </c>
      <c r="D27" s="1" t="s">
        <v>50</v>
      </c>
      <c r="E27" s="3" t="s">
        <v>91</v>
      </c>
      <c r="F27" s="3" t="s">
        <v>59</v>
      </c>
      <c r="G27" s="24"/>
      <c r="H27" s="24"/>
      <c r="J27" s="1" t="s">
        <v>192</v>
      </c>
      <c r="K27" s="4"/>
      <c r="L27" s="4"/>
      <c r="M27" s="4"/>
      <c r="N27" s="4"/>
      <c r="O27" s="4"/>
      <c r="P27" s="33" t="s">
        <v>193</v>
      </c>
      <c r="Q27" s="25">
        <v>2170</v>
      </c>
      <c r="R27" s="25">
        <v>1</v>
      </c>
      <c r="S27" s="12">
        <f t="shared" si="8"/>
        <v>2170</v>
      </c>
      <c r="T27" s="5">
        <v>0</v>
      </c>
      <c r="U27" s="12">
        <f t="shared" si="9"/>
        <v>2170</v>
      </c>
      <c r="V27" s="25" t="s">
        <v>10</v>
      </c>
      <c r="W27" s="11">
        <f>IFERROR(VLOOKUP(V27,Curr!$B$2:$C$13,2,FALSE),0)</f>
        <v>10.8</v>
      </c>
      <c r="X27" s="12">
        <f t="shared" si="10"/>
        <v>23436</v>
      </c>
      <c r="Y27" s="26">
        <f>Q27/0.85</f>
        <v>2552.9411764705883</v>
      </c>
      <c r="Z27" s="12">
        <f t="shared" si="12"/>
        <v>2552.9411764705883</v>
      </c>
      <c r="AA27" s="4" t="s">
        <v>10</v>
      </c>
      <c r="AB27" s="11">
        <f>IFERROR(VLOOKUP(AA27,Curr!$B$2:$C$13,2,FALSE),0)</f>
        <v>10.8</v>
      </c>
      <c r="AC27" s="12">
        <f t="shared" si="13"/>
        <v>27571.764705882357</v>
      </c>
      <c r="AD27" s="12">
        <f t="shared" si="14"/>
        <v>4135.7647058823568</v>
      </c>
      <c r="AE27" s="13">
        <f t="shared" si="15"/>
        <v>0.15000000000000011</v>
      </c>
    </row>
    <row r="28" spans="2:31" x14ac:dyDescent="0.25">
      <c r="B28" s="4"/>
      <c r="C28" s="1" t="s">
        <v>62</v>
      </c>
      <c r="D28" s="1" t="s">
        <v>51</v>
      </c>
      <c r="E28" s="3" t="s">
        <v>91</v>
      </c>
      <c r="F28" s="3"/>
      <c r="G28" s="24"/>
      <c r="H28" s="24"/>
      <c r="J28" s="1" t="s">
        <v>53</v>
      </c>
      <c r="K28" s="4"/>
      <c r="L28" s="4"/>
      <c r="M28" s="4"/>
      <c r="N28" s="4"/>
      <c r="O28" s="4"/>
      <c r="P28" s="33"/>
      <c r="Q28" s="25">
        <v>0</v>
      </c>
      <c r="R28" s="25">
        <v>0</v>
      </c>
      <c r="S28" s="12">
        <f t="shared" si="8"/>
        <v>0</v>
      </c>
      <c r="T28" s="5">
        <v>0</v>
      </c>
      <c r="U28" s="12">
        <f t="shared" si="9"/>
        <v>0</v>
      </c>
      <c r="V28" s="25" t="s">
        <v>10</v>
      </c>
      <c r="W28" s="11">
        <f>IFERROR(VLOOKUP(V28,Curr!$B$2:$C$13,2,FALSE),0)</f>
        <v>10.8</v>
      </c>
      <c r="X28" s="12">
        <f t="shared" si="10"/>
        <v>0</v>
      </c>
      <c r="Y28" s="26">
        <f t="shared" si="11"/>
        <v>0</v>
      </c>
      <c r="Z28" s="12">
        <f t="shared" si="12"/>
        <v>0</v>
      </c>
      <c r="AA28" s="4" t="s">
        <v>10</v>
      </c>
      <c r="AB28" s="11">
        <f>IFERROR(VLOOKUP(AA28,Curr!$B$2:$C$13,2,FALSE),0)</f>
        <v>10.8</v>
      </c>
      <c r="AC28" s="12">
        <f t="shared" si="13"/>
        <v>0</v>
      </c>
      <c r="AD28" s="12">
        <f t="shared" si="14"/>
        <v>0</v>
      </c>
      <c r="AE28" s="13">
        <f t="shared" si="15"/>
        <v>0</v>
      </c>
    </row>
    <row r="29" spans="2:31" x14ac:dyDescent="0.25">
      <c r="B29" s="4"/>
      <c r="C29" s="1" t="s">
        <v>62</v>
      </c>
      <c r="D29" s="1" t="s">
        <v>56</v>
      </c>
      <c r="E29" s="3" t="s">
        <v>91</v>
      </c>
      <c r="F29" s="3"/>
      <c r="G29" s="24"/>
      <c r="H29" s="24"/>
      <c r="J29" s="1" t="s">
        <v>150</v>
      </c>
      <c r="K29" s="4"/>
      <c r="L29" s="4"/>
      <c r="M29" s="4"/>
      <c r="N29" s="4"/>
      <c r="O29" s="4"/>
      <c r="P29" s="33" t="s">
        <v>73</v>
      </c>
      <c r="Q29" s="25">
        <v>127</v>
      </c>
      <c r="R29" s="25">
        <v>4</v>
      </c>
      <c r="S29" s="12">
        <f t="shared" si="8"/>
        <v>508</v>
      </c>
      <c r="T29" s="5">
        <v>0.25</v>
      </c>
      <c r="U29" s="12">
        <f t="shared" si="9"/>
        <v>381</v>
      </c>
      <c r="V29" s="25" t="s">
        <v>10</v>
      </c>
      <c r="W29" s="11">
        <f>IFERROR(VLOOKUP(V29,Curr!$B$2:$C$13,2,FALSE),0)</f>
        <v>10.8</v>
      </c>
      <c r="X29" s="12">
        <f t="shared" si="10"/>
        <v>4114.8</v>
      </c>
      <c r="Y29" s="26">
        <f t="shared" si="11"/>
        <v>127</v>
      </c>
      <c r="Z29" s="12">
        <f t="shared" si="12"/>
        <v>508</v>
      </c>
      <c r="AA29" s="4" t="s">
        <v>10</v>
      </c>
      <c r="AB29" s="11">
        <f>IFERROR(VLOOKUP(AA29,Curr!$B$2:$C$13,2,FALSE),0)</f>
        <v>10.8</v>
      </c>
      <c r="AC29" s="12">
        <f t="shared" si="13"/>
        <v>5486.4000000000005</v>
      </c>
      <c r="AD29" s="12">
        <f t="shared" si="14"/>
        <v>1371.6000000000004</v>
      </c>
      <c r="AE29" s="13">
        <f t="shared" si="15"/>
        <v>0.25000000000000006</v>
      </c>
    </row>
    <row r="30" spans="2:31" x14ac:dyDescent="0.25">
      <c r="B30" s="4"/>
      <c r="E30" s="3"/>
      <c r="F30" s="3"/>
      <c r="G30" s="24"/>
      <c r="H30" s="24"/>
      <c r="K30" s="4"/>
      <c r="L30" s="4"/>
      <c r="M30" s="4"/>
      <c r="N30" s="4"/>
      <c r="O30" s="4"/>
      <c r="P30" s="33"/>
      <c r="Q30" s="25"/>
      <c r="R30" s="25"/>
      <c r="S30" s="12">
        <f t="shared" si="8"/>
        <v>0</v>
      </c>
      <c r="T30" s="5">
        <v>0</v>
      </c>
      <c r="U30" s="12">
        <f t="shared" si="9"/>
        <v>0</v>
      </c>
      <c r="V30" s="25" t="s">
        <v>10</v>
      </c>
      <c r="W30" s="11">
        <f>IFERROR(VLOOKUP(V30,Curr!$B$2:$C$13,2,FALSE),0)</f>
        <v>10.8</v>
      </c>
      <c r="X30" s="12">
        <f t="shared" si="10"/>
        <v>0</v>
      </c>
      <c r="Y30" s="26">
        <f t="shared" si="11"/>
        <v>0</v>
      </c>
      <c r="Z30" s="12">
        <f t="shared" si="12"/>
        <v>0</v>
      </c>
      <c r="AA30" s="4" t="s">
        <v>10</v>
      </c>
      <c r="AB30" s="11">
        <f>IFERROR(VLOOKUP(AA30,Curr!$B$2:$C$13,2,FALSE),0)</f>
        <v>10.8</v>
      </c>
      <c r="AC30" s="12">
        <f t="shared" si="13"/>
        <v>0</v>
      </c>
      <c r="AD30" s="12">
        <f t="shared" si="14"/>
        <v>0</v>
      </c>
      <c r="AE30" s="13">
        <f t="shared" si="15"/>
        <v>0</v>
      </c>
    </row>
    <row r="31" spans="2:31" x14ac:dyDescent="0.25">
      <c r="B31" s="4"/>
      <c r="C31" s="1" t="s">
        <v>65</v>
      </c>
      <c r="D31" s="1" t="s">
        <v>56</v>
      </c>
      <c r="E31" s="3" t="s">
        <v>58</v>
      </c>
      <c r="F31" s="3"/>
      <c r="G31" s="24"/>
      <c r="H31" s="24"/>
      <c r="J31" s="1" t="s">
        <v>149</v>
      </c>
      <c r="K31" s="4"/>
      <c r="L31" s="4"/>
      <c r="M31" s="4"/>
      <c r="N31" s="4"/>
      <c r="O31" s="4"/>
      <c r="P31" s="33" t="s">
        <v>71</v>
      </c>
      <c r="Q31" s="25">
        <v>35</v>
      </c>
      <c r="R31" s="25">
        <v>4</v>
      </c>
      <c r="S31" s="12">
        <f t="shared" si="8"/>
        <v>140</v>
      </c>
      <c r="T31" s="5">
        <v>0.2</v>
      </c>
      <c r="U31" s="12">
        <f t="shared" si="9"/>
        <v>112</v>
      </c>
      <c r="V31" s="25" t="s">
        <v>10</v>
      </c>
      <c r="W31" s="11">
        <f>IFERROR(VLOOKUP(V31,Curr!$B$2:$C$13,2,FALSE),0)</f>
        <v>10.8</v>
      </c>
      <c r="X31" s="12">
        <f t="shared" si="10"/>
        <v>1209.6000000000001</v>
      </c>
      <c r="Y31" s="26">
        <f t="shared" si="11"/>
        <v>35</v>
      </c>
      <c r="Z31" s="12">
        <f t="shared" si="12"/>
        <v>140</v>
      </c>
      <c r="AA31" s="4" t="s">
        <v>10</v>
      </c>
      <c r="AB31" s="11">
        <f>IFERROR(VLOOKUP(AA31,Curr!$B$2:$C$13,2,FALSE),0)</f>
        <v>10.8</v>
      </c>
      <c r="AC31" s="12">
        <f t="shared" si="13"/>
        <v>1512</v>
      </c>
      <c r="AD31" s="12">
        <f t="shared" si="14"/>
        <v>302.39999999999986</v>
      </c>
      <c r="AE31" s="13">
        <f t="shared" si="15"/>
        <v>0.1999999999999999</v>
      </c>
    </row>
    <row r="32" spans="2:31" x14ac:dyDescent="0.25">
      <c r="B32" s="4"/>
      <c r="C32" s="1" t="s">
        <v>65</v>
      </c>
      <c r="D32" s="1" t="s">
        <v>51</v>
      </c>
      <c r="E32" s="3" t="s">
        <v>58</v>
      </c>
      <c r="F32" s="3"/>
      <c r="G32" s="24"/>
      <c r="H32" s="24"/>
      <c r="J32" s="1" t="s">
        <v>53</v>
      </c>
      <c r="K32" s="4"/>
      <c r="L32" s="4"/>
      <c r="M32" s="4"/>
      <c r="N32" s="4"/>
      <c r="O32" s="4"/>
      <c r="P32" s="33"/>
      <c r="Q32" s="25">
        <v>0</v>
      </c>
      <c r="R32" s="25">
        <v>0</v>
      </c>
      <c r="S32" s="12">
        <f t="shared" si="8"/>
        <v>0</v>
      </c>
      <c r="T32" s="5">
        <v>0</v>
      </c>
      <c r="U32" s="12">
        <f t="shared" si="9"/>
        <v>0</v>
      </c>
      <c r="V32" s="25" t="s">
        <v>10</v>
      </c>
      <c r="W32" s="11">
        <f>IFERROR(VLOOKUP(V32,Curr!$B$2:$C$13,2,FALSE),0)</f>
        <v>10.8</v>
      </c>
      <c r="X32" s="12">
        <f t="shared" si="10"/>
        <v>0</v>
      </c>
      <c r="Y32" s="26">
        <f t="shared" si="11"/>
        <v>0</v>
      </c>
      <c r="Z32" s="12">
        <f t="shared" si="12"/>
        <v>0</v>
      </c>
      <c r="AA32" s="4" t="s">
        <v>10</v>
      </c>
      <c r="AB32" s="11">
        <f>IFERROR(VLOOKUP(AA32,Curr!$B$2:$C$13,2,FALSE),0)</f>
        <v>10.8</v>
      </c>
      <c r="AC32" s="12">
        <f t="shared" si="13"/>
        <v>0</v>
      </c>
      <c r="AD32" s="12">
        <f t="shared" si="14"/>
        <v>0</v>
      </c>
      <c r="AE32" s="13">
        <f t="shared" si="15"/>
        <v>0</v>
      </c>
    </row>
    <row r="33" spans="2:31" x14ac:dyDescent="0.25">
      <c r="B33" s="4"/>
      <c r="C33" s="1" t="s">
        <v>65</v>
      </c>
      <c r="D33" s="1" t="s">
        <v>56</v>
      </c>
      <c r="E33" s="3" t="s">
        <v>58</v>
      </c>
      <c r="F33" s="3"/>
      <c r="G33" s="24"/>
      <c r="H33" s="24"/>
      <c r="J33" s="1" t="s">
        <v>188</v>
      </c>
      <c r="K33" s="4"/>
      <c r="L33" s="4"/>
      <c r="M33" s="4"/>
      <c r="N33" s="4"/>
      <c r="O33" s="4"/>
      <c r="P33" s="33" t="s">
        <v>148</v>
      </c>
      <c r="Q33" s="25">
        <v>167</v>
      </c>
      <c r="R33" s="25">
        <v>4</v>
      </c>
      <c r="S33" s="12">
        <f t="shared" si="8"/>
        <v>668</v>
      </c>
      <c r="T33" s="5">
        <v>0.2</v>
      </c>
      <c r="U33" s="12">
        <f t="shared" si="9"/>
        <v>534.4</v>
      </c>
      <c r="V33" s="25" t="s">
        <v>10</v>
      </c>
      <c r="W33" s="11">
        <f>IFERROR(VLOOKUP(V33,Curr!$B$2:$C$13,2,FALSE),0)</f>
        <v>10.8</v>
      </c>
      <c r="X33" s="12">
        <f t="shared" si="10"/>
        <v>5771.52</v>
      </c>
      <c r="Y33" s="26">
        <f t="shared" si="11"/>
        <v>167</v>
      </c>
      <c r="Z33" s="12">
        <f t="shared" si="12"/>
        <v>668</v>
      </c>
      <c r="AA33" s="4" t="s">
        <v>10</v>
      </c>
      <c r="AB33" s="11">
        <f>IFERROR(VLOOKUP(AA33,Curr!$B$2:$C$13,2,FALSE),0)</f>
        <v>10.8</v>
      </c>
      <c r="AC33" s="12">
        <f t="shared" si="13"/>
        <v>7214.4000000000005</v>
      </c>
      <c r="AD33" s="12">
        <f t="shared" si="14"/>
        <v>1442.88</v>
      </c>
      <c r="AE33" s="13">
        <f t="shared" si="15"/>
        <v>0.2</v>
      </c>
    </row>
    <row r="34" spans="2:31" x14ac:dyDescent="0.25">
      <c r="B34" s="4"/>
      <c r="E34" s="3"/>
      <c r="F34" s="3"/>
      <c r="G34" s="24"/>
      <c r="H34" s="24"/>
      <c r="K34" s="4"/>
      <c r="L34" s="4"/>
      <c r="M34" s="4"/>
      <c r="N34" s="4"/>
      <c r="O34" s="4"/>
      <c r="P34" s="33"/>
      <c r="Q34" s="25"/>
      <c r="R34" s="25"/>
      <c r="S34" s="12">
        <f t="shared" si="8"/>
        <v>0</v>
      </c>
      <c r="T34" s="5">
        <v>0</v>
      </c>
      <c r="U34" s="12">
        <f t="shared" si="9"/>
        <v>0</v>
      </c>
      <c r="V34" s="25" t="s">
        <v>10</v>
      </c>
      <c r="W34" s="11">
        <f>IFERROR(VLOOKUP(V34,Curr!$B$2:$C$13,2,FALSE),0)</f>
        <v>10.8</v>
      </c>
      <c r="X34" s="12">
        <f t="shared" si="10"/>
        <v>0</v>
      </c>
      <c r="Y34" s="26">
        <f t="shared" si="11"/>
        <v>0</v>
      </c>
      <c r="Z34" s="12">
        <f t="shared" si="12"/>
        <v>0</v>
      </c>
      <c r="AA34" s="4" t="s">
        <v>10</v>
      </c>
      <c r="AB34" s="11">
        <f>IFERROR(VLOOKUP(AA34,Curr!$B$2:$C$13,2,FALSE),0)</f>
        <v>10.8</v>
      </c>
      <c r="AC34" s="12">
        <f t="shared" si="13"/>
        <v>0</v>
      </c>
      <c r="AD34" s="12">
        <f t="shared" si="14"/>
        <v>0</v>
      </c>
      <c r="AE34" s="13">
        <f t="shared" si="15"/>
        <v>0</v>
      </c>
    </row>
    <row r="35" spans="2:31" x14ac:dyDescent="0.25">
      <c r="B35" s="4"/>
      <c r="C35" s="1" t="s">
        <v>66</v>
      </c>
      <c r="D35" s="1" t="s">
        <v>75</v>
      </c>
      <c r="E35" s="3" t="s">
        <v>59</v>
      </c>
      <c r="F35" s="3"/>
      <c r="G35" s="24"/>
      <c r="H35" s="24"/>
      <c r="J35" s="1" t="s">
        <v>96</v>
      </c>
      <c r="K35" s="4"/>
      <c r="L35" s="4"/>
      <c r="M35" s="4"/>
      <c r="N35" s="4"/>
      <c r="O35" s="4"/>
      <c r="P35" s="33"/>
      <c r="Q35" s="25">
        <v>0</v>
      </c>
      <c r="R35" s="25">
        <v>0</v>
      </c>
      <c r="S35" s="12">
        <f t="shared" si="8"/>
        <v>0</v>
      </c>
      <c r="T35" s="5">
        <v>0</v>
      </c>
      <c r="U35" s="12">
        <f t="shared" si="9"/>
        <v>0</v>
      </c>
      <c r="V35" s="25" t="s">
        <v>10</v>
      </c>
      <c r="W35" s="11">
        <f>IFERROR(VLOOKUP(V35,Curr!$B$2:$C$13,2,FALSE),0)</f>
        <v>10.8</v>
      </c>
      <c r="X35" s="12">
        <f t="shared" si="10"/>
        <v>0</v>
      </c>
      <c r="Y35" s="26">
        <f t="shared" si="11"/>
        <v>0</v>
      </c>
      <c r="Z35" s="12">
        <f t="shared" si="12"/>
        <v>0</v>
      </c>
      <c r="AA35" s="4" t="s">
        <v>10</v>
      </c>
      <c r="AB35" s="11">
        <f>IFERROR(VLOOKUP(AA35,Curr!$B$2:$C$13,2,FALSE),0)</f>
        <v>10.8</v>
      </c>
      <c r="AC35" s="12">
        <f t="shared" si="13"/>
        <v>0</v>
      </c>
      <c r="AD35" s="12">
        <f t="shared" si="14"/>
        <v>0</v>
      </c>
      <c r="AE35" s="13">
        <f t="shared" si="15"/>
        <v>0</v>
      </c>
    </row>
    <row r="36" spans="2:31" x14ac:dyDescent="0.25">
      <c r="B36" s="4"/>
      <c r="C36" s="1" t="s">
        <v>66</v>
      </c>
      <c r="D36" s="1" t="s">
        <v>74</v>
      </c>
      <c r="E36" s="3" t="s">
        <v>59</v>
      </c>
      <c r="F36" s="3"/>
      <c r="G36" s="24"/>
      <c r="H36" s="24"/>
      <c r="J36" s="1" t="s">
        <v>98</v>
      </c>
      <c r="K36" s="4"/>
      <c r="L36" s="4"/>
      <c r="M36" s="4"/>
      <c r="N36" s="4"/>
      <c r="O36" s="4"/>
      <c r="P36" s="33"/>
      <c r="Q36" s="25">
        <v>0</v>
      </c>
      <c r="R36" s="25">
        <v>0</v>
      </c>
      <c r="S36" s="12">
        <f t="shared" si="8"/>
        <v>0</v>
      </c>
      <c r="T36" s="5">
        <v>0</v>
      </c>
      <c r="U36" s="12">
        <f t="shared" si="9"/>
        <v>0</v>
      </c>
      <c r="V36" s="25" t="s">
        <v>10</v>
      </c>
      <c r="W36" s="11">
        <f>IFERROR(VLOOKUP(V36,Curr!$B$2:$C$13,2,FALSE),0)</f>
        <v>10.8</v>
      </c>
      <c r="X36" s="12">
        <f t="shared" si="10"/>
        <v>0</v>
      </c>
      <c r="Y36" s="26">
        <f t="shared" si="11"/>
        <v>0</v>
      </c>
      <c r="Z36" s="12">
        <f t="shared" si="12"/>
        <v>0</v>
      </c>
      <c r="AA36" s="4" t="s">
        <v>10</v>
      </c>
      <c r="AB36" s="11">
        <f>IFERROR(VLOOKUP(AA36,Curr!$B$2:$C$13,2,FALSE),0)</f>
        <v>10.8</v>
      </c>
      <c r="AC36" s="12">
        <f t="shared" si="13"/>
        <v>0</v>
      </c>
      <c r="AD36" s="12">
        <f t="shared" si="14"/>
        <v>0</v>
      </c>
      <c r="AE36" s="13">
        <f t="shared" si="15"/>
        <v>0</v>
      </c>
    </row>
    <row r="37" spans="2:31" x14ac:dyDescent="0.25">
      <c r="B37" s="4"/>
      <c r="C37" s="1" t="s">
        <v>66</v>
      </c>
      <c r="D37" s="1" t="s">
        <v>76</v>
      </c>
      <c r="E37" s="3" t="s">
        <v>59</v>
      </c>
      <c r="F37" s="3"/>
      <c r="G37" s="24"/>
      <c r="H37" s="24"/>
      <c r="J37" s="1" t="s">
        <v>153</v>
      </c>
      <c r="K37" s="4"/>
      <c r="L37" s="4"/>
      <c r="M37" s="4"/>
      <c r="N37" s="4"/>
      <c r="O37" s="4"/>
      <c r="P37" s="33" t="s">
        <v>154</v>
      </c>
      <c r="Q37" s="25">
        <v>3747</v>
      </c>
      <c r="R37" s="25">
        <v>4</v>
      </c>
      <c r="S37" s="12">
        <f t="shared" si="8"/>
        <v>14988</v>
      </c>
      <c r="T37" s="5">
        <v>0</v>
      </c>
      <c r="U37" s="12">
        <f t="shared" si="9"/>
        <v>14988</v>
      </c>
      <c r="V37" s="25" t="s">
        <v>8</v>
      </c>
      <c r="W37" s="11">
        <f>IFERROR(VLOOKUP(V37,Curr!$B$2:$C$13,2,FALSE),0)</f>
        <v>1</v>
      </c>
      <c r="X37" s="12">
        <f t="shared" si="10"/>
        <v>14988</v>
      </c>
      <c r="Y37" s="26">
        <f>Q37/11/0.8</f>
        <v>425.7954545454545</v>
      </c>
      <c r="Z37" s="12">
        <f t="shared" si="12"/>
        <v>1703.181818181818</v>
      </c>
      <c r="AA37" s="4" t="s">
        <v>10</v>
      </c>
      <c r="AB37" s="11">
        <f>IFERROR(VLOOKUP(AA37,Curr!$B$2:$C$13,2,FALSE),0)</f>
        <v>10.8</v>
      </c>
      <c r="AC37" s="12">
        <f t="shared" si="13"/>
        <v>18394.363636363636</v>
      </c>
      <c r="AD37" s="12">
        <f t="shared" si="14"/>
        <v>3406.363636363636</v>
      </c>
      <c r="AE37" s="13">
        <f t="shared" si="15"/>
        <v>0.18518518518518517</v>
      </c>
    </row>
    <row r="38" spans="2:31" x14ac:dyDescent="0.25">
      <c r="B38" s="4"/>
      <c r="C38" s="1" t="s">
        <v>66</v>
      </c>
      <c r="D38" s="1" t="s">
        <v>49</v>
      </c>
      <c r="E38" s="3" t="s">
        <v>59</v>
      </c>
      <c r="F38" s="3"/>
      <c r="G38" s="24"/>
      <c r="H38" s="24"/>
      <c r="J38" s="1" t="s">
        <v>100</v>
      </c>
      <c r="K38" s="4"/>
      <c r="L38" s="4"/>
      <c r="M38" s="4"/>
      <c r="N38" s="4"/>
      <c r="O38" s="4"/>
      <c r="P38" s="33"/>
      <c r="Q38" s="25">
        <v>1900</v>
      </c>
      <c r="R38" s="25">
        <v>1</v>
      </c>
      <c r="S38" s="12">
        <f t="shared" si="8"/>
        <v>1900</v>
      </c>
      <c r="T38" s="5">
        <v>0</v>
      </c>
      <c r="U38" s="12">
        <f t="shared" si="9"/>
        <v>1900</v>
      </c>
      <c r="V38" s="25" t="s">
        <v>8</v>
      </c>
      <c r="W38" s="11">
        <f>IFERROR(VLOOKUP(V38,Curr!$B$2:$C$13,2,FALSE),0)</f>
        <v>1</v>
      </c>
      <c r="X38" s="12">
        <f t="shared" si="10"/>
        <v>1900</v>
      </c>
      <c r="Y38" s="26">
        <f>Q38/11/0.8</f>
        <v>215.90909090909088</v>
      </c>
      <c r="Z38" s="12">
        <f t="shared" si="12"/>
        <v>215.90909090909088</v>
      </c>
      <c r="AA38" s="4" t="s">
        <v>10</v>
      </c>
      <c r="AB38" s="11">
        <f>IFERROR(VLOOKUP(AA38,Curr!$B$2:$C$13,2,FALSE),0)</f>
        <v>10.8</v>
      </c>
      <c r="AC38" s="12">
        <f t="shared" si="13"/>
        <v>2331.8181818181815</v>
      </c>
      <c r="AD38" s="12">
        <f t="shared" si="14"/>
        <v>431.81818181818153</v>
      </c>
      <c r="AE38" s="13">
        <f t="shared" si="15"/>
        <v>0.18518518518518509</v>
      </c>
    </row>
    <row r="39" spans="2:31" x14ac:dyDescent="0.25">
      <c r="B39" s="4"/>
      <c r="C39" s="1" t="s">
        <v>66</v>
      </c>
      <c r="D39" s="1" t="s">
        <v>50</v>
      </c>
      <c r="E39" s="3" t="s">
        <v>59</v>
      </c>
      <c r="F39" s="3" t="s">
        <v>63</v>
      </c>
      <c r="G39" s="24"/>
      <c r="H39" s="24"/>
      <c r="J39" s="1" t="s">
        <v>195</v>
      </c>
      <c r="K39" s="4"/>
      <c r="L39" s="4"/>
      <c r="M39" s="4"/>
      <c r="N39" s="4"/>
      <c r="O39" s="4"/>
      <c r="P39" s="33" t="s">
        <v>196</v>
      </c>
      <c r="Q39" s="25">
        <v>2014</v>
      </c>
      <c r="R39" s="25">
        <v>1</v>
      </c>
      <c r="S39" s="12">
        <f t="shared" si="8"/>
        <v>2014</v>
      </c>
      <c r="T39" s="5">
        <v>0</v>
      </c>
      <c r="U39" s="12">
        <f t="shared" si="9"/>
        <v>2014</v>
      </c>
      <c r="V39" s="25" t="s">
        <v>10</v>
      </c>
      <c r="W39" s="11">
        <f>IFERROR(VLOOKUP(V39,Curr!$B$2:$C$13,2,FALSE),0)</f>
        <v>10.8</v>
      </c>
      <c r="X39" s="12">
        <f t="shared" si="10"/>
        <v>21751.200000000001</v>
      </c>
      <c r="Y39" s="26">
        <f>Q39/0.85</f>
        <v>2369.4117647058824</v>
      </c>
      <c r="Z39" s="12">
        <f t="shared" si="12"/>
        <v>2369.4117647058824</v>
      </c>
      <c r="AA39" s="4" t="s">
        <v>10</v>
      </c>
      <c r="AB39" s="11">
        <f>IFERROR(VLOOKUP(AA39,Curr!$B$2:$C$13,2,FALSE),0)</f>
        <v>10.8</v>
      </c>
      <c r="AC39" s="12">
        <f t="shared" si="13"/>
        <v>25589.647058823532</v>
      </c>
      <c r="AD39" s="12">
        <f t="shared" si="14"/>
        <v>3838.4470588235308</v>
      </c>
      <c r="AE39" s="13">
        <f t="shared" si="15"/>
        <v>0.15000000000000005</v>
      </c>
    </row>
    <row r="40" spans="2:31" x14ac:dyDescent="0.25">
      <c r="B40" s="4"/>
      <c r="C40" s="1" t="s">
        <v>66</v>
      </c>
      <c r="D40" s="1" t="s">
        <v>51</v>
      </c>
      <c r="E40" s="3" t="s">
        <v>59</v>
      </c>
      <c r="F40" s="3"/>
      <c r="G40" s="24"/>
      <c r="H40" s="24"/>
      <c r="J40" s="1" t="s">
        <v>102</v>
      </c>
      <c r="K40" s="4"/>
      <c r="L40" s="4"/>
      <c r="M40" s="4"/>
      <c r="N40" s="4"/>
      <c r="O40" s="4"/>
      <c r="P40" s="33"/>
      <c r="Q40" s="25">
        <v>0</v>
      </c>
      <c r="R40" s="25">
        <v>0</v>
      </c>
      <c r="S40" s="12">
        <f t="shared" si="8"/>
        <v>0</v>
      </c>
      <c r="T40" s="5">
        <v>0</v>
      </c>
      <c r="U40" s="12">
        <f t="shared" si="9"/>
        <v>0</v>
      </c>
      <c r="V40" s="25" t="s">
        <v>10</v>
      </c>
      <c r="W40" s="11">
        <f>IFERROR(VLOOKUP(V40,Curr!$B$2:$C$13,2,FALSE),0)</f>
        <v>10.8</v>
      </c>
      <c r="X40" s="12">
        <f t="shared" si="10"/>
        <v>0</v>
      </c>
      <c r="Y40" s="26">
        <f t="shared" si="11"/>
        <v>0</v>
      </c>
      <c r="Z40" s="12">
        <f t="shared" si="12"/>
        <v>0</v>
      </c>
      <c r="AA40" s="4" t="s">
        <v>10</v>
      </c>
      <c r="AB40" s="11">
        <f>IFERROR(VLOOKUP(AA40,Curr!$B$2:$C$13,2,FALSE),0)</f>
        <v>10.8</v>
      </c>
      <c r="AC40" s="12">
        <f t="shared" si="13"/>
        <v>0</v>
      </c>
      <c r="AD40" s="12">
        <f t="shared" si="14"/>
        <v>0</v>
      </c>
      <c r="AE40" s="13">
        <f t="shared" si="15"/>
        <v>0</v>
      </c>
    </row>
    <row r="41" spans="2:31"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10.8</v>
      </c>
      <c r="X41" s="12">
        <f t="shared" si="10"/>
        <v>0</v>
      </c>
      <c r="Y41" s="26">
        <f t="shared" si="11"/>
        <v>0</v>
      </c>
      <c r="Z41" s="12">
        <f t="shared" si="12"/>
        <v>0</v>
      </c>
      <c r="AA41" s="4" t="s">
        <v>10</v>
      </c>
      <c r="AB41" s="11">
        <f>IFERROR(VLOOKUP(AA41,Curr!$B$2:$C$13,2,FALSE),0)</f>
        <v>10.8</v>
      </c>
      <c r="AC41" s="12">
        <f t="shared" si="13"/>
        <v>0</v>
      </c>
      <c r="AD41" s="12">
        <f t="shared" si="14"/>
        <v>0</v>
      </c>
      <c r="AE41" s="13">
        <f t="shared" si="15"/>
        <v>0</v>
      </c>
    </row>
    <row r="42" spans="2:31" x14ac:dyDescent="0.25">
      <c r="B42" s="4"/>
      <c r="C42" s="1" t="s">
        <v>103</v>
      </c>
      <c r="D42" s="1" t="s">
        <v>56</v>
      </c>
      <c r="E42" s="3" t="s">
        <v>61</v>
      </c>
      <c r="F42" s="3"/>
      <c r="G42" s="24"/>
      <c r="H42" s="24"/>
      <c r="J42" s="1" t="s">
        <v>157</v>
      </c>
      <c r="K42" s="4"/>
      <c r="L42" s="4"/>
      <c r="M42" s="4"/>
      <c r="N42" s="4"/>
      <c r="O42" s="4"/>
      <c r="P42" s="33" t="s">
        <v>158</v>
      </c>
      <c r="Q42" s="25">
        <v>40</v>
      </c>
      <c r="R42" s="25">
        <v>4</v>
      </c>
      <c r="S42" s="12">
        <f t="shared" si="8"/>
        <v>160</v>
      </c>
      <c r="T42" s="5">
        <v>0.2</v>
      </c>
      <c r="U42" s="12">
        <f t="shared" si="9"/>
        <v>128</v>
      </c>
      <c r="V42" s="25" t="s">
        <v>10</v>
      </c>
      <c r="W42" s="11">
        <f>IFERROR(VLOOKUP(V42,Curr!$B$2:$C$13,2,FALSE),0)</f>
        <v>10.8</v>
      </c>
      <c r="X42" s="12">
        <f t="shared" si="10"/>
        <v>1382.4</v>
      </c>
      <c r="Y42" s="26">
        <f t="shared" si="11"/>
        <v>40</v>
      </c>
      <c r="Z42" s="12">
        <f t="shared" si="12"/>
        <v>160</v>
      </c>
      <c r="AA42" s="4" t="s">
        <v>10</v>
      </c>
      <c r="AB42" s="11">
        <f>IFERROR(VLOOKUP(AA42,Curr!$B$2:$C$13,2,FALSE),0)</f>
        <v>10.8</v>
      </c>
      <c r="AC42" s="12">
        <f t="shared" si="13"/>
        <v>1728</v>
      </c>
      <c r="AD42" s="12">
        <f t="shared" si="14"/>
        <v>345.59999999999991</v>
      </c>
      <c r="AE42" s="13">
        <f t="shared" si="15"/>
        <v>0.19999999999999996</v>
      </c>
    </row>
    <row r="43" spans="2:31" x14ac:dyDescent="0.25">
      <c r="B43" s="4"/>
      <c r="C43" s="1" t="s">
        <v>103</v>
      </c>
      <c r="D43" s="1" t="s">
        <v>51</v>
      </c>
      <c r="E43" s="3" t="s">
        <v>61</v>
      </c>
      <c r="F43" s="3"/>
      <c r="G43" s="24"/>
      <c r="H43" s="24"/>
      <c r="J43" s="1" t="s">
        <v>102</v>
      </c>
      <c r="K43" s="4"/>
      <c r="L43" s="4"/>
      <c r="M43" s="4"/>
      <c r="N43" s="4"/>
      <c r="O43" s="4"/>
      <c r="P43" s="33"/>
      <c r="Q43" s="25">
        <v>0</v>
      </c>
      <c r="R43" s="25">
        <v>0</v>
      </c>
      <c r="S43" s="12">
        <f t="shared" si="8"/>
        <v>0</v>
      </c>
      <c r="T43" s="5">
        <v>0</v>
      </c>
      <c r="U43" s="12">
        <f t="shared" si="9"/>
        <v>0</v>
      </c>
      <c r="V43" s="25" t="s">
        <v>10</v>
      </c>
      <c r="W43" s="11">
        <f>IFERROR(VLOOKUP(V43,Curr!$B$2:$C$13,2,FALSE),0)</f>
        <v>10.8</v>
      </c>
      <c r="X43" s="12">
        <f t="shared" si="10"/>
        <v>0</v>
      </c>
      <c r="Y43" s="26">
        <f t="shared" si="11"/>
        <v>0</v>
      </c>
      <c r="Z43" s="12">
        <f t="shared" si="12"/>
        <v>0</v>
      </c>
      <c r="AA43" s="4" t="s">
        <v>10</v>
      </c>
      <c r="AB43" s="11">
        <f>IFERROR(VLOOKUP(AA43,Curr!$B$2:$C$13,2,FALSE),0)</f>
        <v>10.8</v>
      </c>
      <c r="AC43" s="12">
        <f t="shared" si="13"/>
        <v>0</v>
      </c>
      <c r="AD43" s="12">
        <f t="shared" si="14"/>
        <v>0</v>
      </c>
      <c r="AE43" s="13">
        <f t="shared" si="15"/>
        <v>0</v>
      </c>
    </row>
    <row r="44" spans="2:3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10.8</v>
      </c>
      <c r="X44" s="12">
        <f t="shared" si="10"/>
        <v>0</v>
      </c>
      <c r="Y44" s="26">
        <f t="shared" si="11"/>
        <v>0</v>
      </c>
      <c r="Z44" s="12">
        <f t="shared" si="12"/>
        <v>0</v>
      </c>
      <c r="AA44" s="4" t="s">
        <v>10</v>
      </c>
      <c r="AB44" s="11">
        <f>IFERROR(VLOOKUP(AA44,Curr!$B$2:$C$13,2,FALSE),0)</f>
        <v>10.8</v>
      </c>
      <c r="AC44" s="12">
        <f t="shared" si="13"/>
        <v>0</v>
      </c>
      <c r="AD44" s="12">
        <f t="shared" si="14"/>
        <v>0</v>
      </c>
      <c r="AE44" s="13">
        <f t="shared" si="15"/>
        <v>0</v>
      </c>
    </row>
    <row r="45" spans="2:31" x14ac:dyDescent="0.25">
      <c r="B45" s="4"/>
      <c r="C45" s="1" t="s">
        <v>104</v>
      </c>
      <c r="D45" s="1" t="s">
        <v>49</v>
      </c>
      <c r="E45" s="3" t="s">
        <v>63</v>
      </c>
      <c r="F45" s="3"/>
      <c r="G45" s="24"/>
      <c r="H45" s="24"/>
      <c r="J45" s="1" t="s">
        <v>105</v>
      </c>
      <c r="K45" s="4"/>
      <c r="L45" s="4"/>
      <c r="M45" s="4"/>
      <c r="N45" s="4"/>
      <c r="O45" s="4"/>
      <c r="P45" s="33"/>
      <c r="Q45" s="25">
        <v>0</v>
      </c>
      <c r="R45" s="25">
        <v>0</v>
      </c>
      <c r="S45" s="12">
        <f t="shared" si="8"/>
        <v>0</v>
      </c>
      <c r="T45" s="5">
        <v>0</v>
      </c>
      <c r="U45" s="12">
        <f t="shared" si="9"/>
        <v>0</v>
      </c>
      <c r="V45" s="25" t="s">
        <v>10</v>
      </c>
      <c r="W45" s="11">
        <f>IFERROR(VLOOKUP(V45,Curr!$B$2:$C$13,2,FALSE),0)</f>
        <v>10.8</v>
      </c>
      <c r="X45" s="12">
        <f t="shared" si="10"/>
        <v>0</v>
      </c>
      <c r="Y45" s="26">
        <f t="shared" si="11"/>
        <v>0</v>
      </c>
      <c r="Z45" s="12">
        <f t="shared" si="12"/>
        <v>0</v>
      </c>
      <c r="AA45" s="4" t="s">
        <v>10</v>
      </c>
      <c r="AB45" s="11">
        <f>IFERROR(VLOOKUP(AA45,Curr!$B$2:$C$13,2,FALSE),0)</f>
        <v>10.8</v>
      </c>
      <c r="AC45" s="12">
        <f t="shared" si="13"/>
        <v>0</v>
      </c>
      <c r="AD45" s="12">
        <f t="shared" si="14"/>
        <v>0</v>
      </c>
      <c r="AE45" s="13">
        <f t="shared" si="15"/>
        <v>0</v>
      </c>
    </row>
    <row r="46" spans="2:31" x14ac:dyDescent="0.25">
      <c r="B46" s="4"/>
      <c r="C46" s="1" t="s">
        <v>104</v>
      </c>
      <c r="D46" s="1" t="s">
        <v>56</v>
      </c>
      <c r="E46" s="3" t="s">
        <v>63</v>
      </c>
      <c r="F46" s="3"/>
      <c r="G46" s="24"/>
      <c r="H46" s="24"/>
      <c r="J46" s="1" t="s">
        <v>197</v>
      </c>
      <c r="K46" s="4"/>
      <c r="L46" s="4"/>
      <c r="M46" s="4"/>
      <c r="N46" s="4"/>
      <c r="O46" s="4"/>
      <c r="P46" s="33" t="s">
        <v>160</v>
      </c>
      <c r="Q46" s="25">
        <f>3474+450</f>
        <v>3924</v>
      </c>
      <c r="R46" s="25">
        <v>4</v>
      </c>
      <c r="S46" s="12">
        <f t="shared" si="8"/>
        <v>15696</v>
      </c>
      <c r="T46" s="5">
        <v>0.12</v>
      </c>
      <c r="U46" s="12">
        <f t="shared" si="9"/>
        <v>13812.48</v>
      </c>
      <c r="V46" s="25" t="s">
        <v>8</v>
      </c>
      <c r="W46" s="11">
        <f>IFERROR(VLOOKUP(V46,Curr!$B$2:$C$13,2,FALSE),0)</f>
        <v>1</v>
      </c>
      <c r="X46" s="12">
        <f t="shared" si="10"/>
        <v>13812.48</v>
      </c>
      <c r="Y46" s="26">
        <f>Q46/11/0.9</f>
        <v>396.36363636363637</v>
      </c>
      <c r="Z46" s="12">
        <f t="shared" si="12"/>
        <v>1585.4545454545455</v>
      </c>
      <c r="AA46" s="4" t="s">
        <v>10</v>
      </c>
      <c r="AB46" s="11">
        <f>IFERROR(VLOOKUP(AA46,Curr!$B$2:$C$13,2,FALSE),0)</f>
        <v>10.8</v>
      </c>
      <c r="AC46" s="12">
        <f t="shared" si="13"/>
        <v>17122.909090909092</v>
      </c>
      <c r="AD46" s="12">
        <f t="shared" si="14"/>
        <v>3310.4290909090923</v>
      </c>
      <c r="AE46" s="13">
        <f t="shared" si="15"/>
        <v>0.19333333333333341</v>
      </c>
    </row>
    <row r="47" spans="2:31" x14ac:dyDescent="0.25">
      <c r="B47" s="4"/>
      <c r="C47" s="1" t="s">
        <v>104</v>
      </c>
      <c r="D47" s="1" t="s">
        <v>49</v>
      </c>
      <c r="E47" s="3" t="s">
        <v>63</v>
      </c>
      <c r="F47" s="3"/>
      <c r="G47" s="24"/>
      <c r="H47" s="24"/>
      <c r="J47" s="1" t="s">
        <v>108</v>
      </c>
      <c r="K47" s="4"/>
      <c r="L47" s="4"/>
      <c r="M47" s="4"/>
      <c r="N47" s="4"/>
      <c r="O47" s="4"/>
      <c r="P47" s="33" t="s">
        <v>166</v>
      </c>
      <c r="Q47" s="25">
        <v>1690</v>
      </c>
      <c r="R47" s="25">
        <v>1</v>
      </c>
      <c r="S47" s="12">
        <f t="shared" si="8"/>
        <v>1690</v>
      </c>
      <c r="T47" s="5">
        <v>0.15</v>
      </c>
      <c r="U47" s="12">
        <f t="shared" si="9"/>
        <v>1436.5</v>
      </c>
      <c r="V47" s="25" t="s">
        <v>8</v>
      </c>
      <c r="W47" s="11">
        <f>IFERROR(VLOOKUP(V47,Curr!$B$2:$C$13,2,FALSE),0)</f>
        <v>1</v>
      </c>
      <c r="X47" s="12">
        <f t="shared" si="10"/>
        <v>1436.5</v>
      </c>
      <c r="Y47" s="26">
        <f>Q47/11/0.9</f>
        <v>170.7070707070707</v>
      </c>
      <c r="Z47" s="12">
        <f t="shared" si="12"/>
        <v>170.7070707070707</v>
      </c>
      <c r="AA47" s="4" t="s">
        <v>10</v>
      </c>
      <c r="AB47" s="11">
        <f>IFERROR(VLOOKUP(AA47,Curr!$B$2:$C$13,2,FALSE),0)</f>
        <v>10.8</v>
      </c>
      <c r="AC47" s="12">
        <f t="shared" si="13"/>
        <v>1843.6363636363637</v>
      </c>
      <c r="AD47" s="12">
        <f t="shared" si="14"/>
        <v>407.13636363636374</v>
      </c>
      <c r="AE47" s="13">
        <f t="shared" si="15"/>
        <v>0.22083333333333338</v>
      </c>
    </row>
    <row r="48" spans="2:31" x14ac:dyDescent="0.25">
      <c r="B48" s="4"/>
      <c r="C48" s="1" t="s">
        <v>104</v>
      </c>
      <c r="D48" s="1" t="s">
        <v>50</v>
      </c>
      <c r="E48" s="3" t="s">
        <v>63</v>
      </c>
      <c r="F48" s="3" t="s">
        <v>68</v>
      </c>
      <c r="G48" s="1"/>
      <c r="H48" s="1"/>
      <c r="J48" s="1" t="s">
        <v>198</v>
      </c>
      <c r="K48" s="4"/>
      <c r="L48" s="4"/>
      <c r="M48" s="4"/>
      <c r="N48" s="4"/>
      <c r="O48" s="4"/>
      <c r="P48" s="29" t="s">
        <v>199</v>
      </c>
      <c r="Q48" s="25">
        <v>2662</v>
      </c>
      <c r="R48" s="25">
        <v>1</v>
      </c>
      <c r="S48" s="12">
        <f t="shared" si="8"/>
        <v>2662</v>
      </c>
      <c r="T48" s="5">
        <v>0</v>
      </c>
      <c r="U48" s="12">
        <f t="shared" si="9"/>
        <v>2662</v>
      </c>
      <c r="V48" s="25" t="s">
        <v>10</v>
      </c>
      <c r="W48" s="11">
        <f>IFERROR(VLOOKUP(V48,Curr!$B$2:$C$13,2,FALSE),0)</f>
        <v>10.8</v>
      </c>
      <c r="X48" s="12">
        <f t="shared" si="10"/>
        <v>28749.600000000002</v>
      </c>
      <c r="Y48" s="26">
        <f>Q48/0.85</f>
        <v>3131.7647058823532</v>
      </c>
      <c r="Z48" s="12">
        <f t="shared" si="12"/>
        <v>3131.7647058823532</v>
      </c>
      <c r="AA48" s="4" t="s">
        <v>10</v>
      </c>
      <c r="AB48" s="11">
        <f>IFERROR(VLOOKUP(AA48,Curr!$B$2:$C$13,2,FALSE),0)</f>
        <v>10.8</v>
      </c>
      <c r="AC48" s="12">
        <f t="shared" si="13"/>
        <v>33823.05882352942</v>
      </c>
      <c r="AD48" s="12">
        <f t="shared" si="14"/>
        <v>5073.4588235294177</v>
      </c>
      <c r="AE48" s="13">
        <f t="shared" si="15"/>
        <v>0.15000000000000013</v>
      </c>
    </row>
    <row r="49" spans="2:31" x14ac:dyDescent="0.25">
      <c r="B49" s="4"/>
      <c r="C49" s="1" t="s">
        <v>104</v>
      </c>
      <c r="D49" s="1" t="s">
        <v>51</v>
      </c>
      <c r="E49" s="3" t="s">
        <v>63</v>
      </c>
      <c r="F49" s="1"/>
      <c r="G49" s="1"/>
      <c r="H49" s="1"/>
      <c r="J49" s="1" t="s">
        <v>109</v>
      </c>
      <c r="K49" s="4"/>
      <c r="L49" s="4"/>
      <c r="M49" s="4"/>
      <c r="N49" s="4"/>
      <c r="O49" s="4"/>
      <c r="P49" s="33"/>
      <c r="Q49" s="25">
        <v>0</v>
      </c>
      <c r="R49" s="25">
        <v>0</v>
      </c>
      <c r="S49" s="12">
        <f t="shared" si="8"/>
        <v>0</v>
      </c>
      <c r="T49" s="5">
        <v>0</v>
      </c>
      <c r="U49" s="12">
        <f t="shared" si="9"/>
        <v>0</v>
      </c>
      <c r="V49" s="25" t="s">
        <v>10</v>
      </c>
      <c r="W49" s="11">
        <f>IFERROR(VLOOKUP(V49,Curr!$B$2:$C$13,2,FALSE),0)</f>
        <v>10.8</v>
      </c>
      <c r="X49" s="12">
        <f t="shared" si="10"/>
        <v>0</v>
      </c>
      <c r="Y49" s="26">
        <f t="shared" ref="Y49" si="17">Q49</f>
        <v>0</v>
      </c>
      <c r="Z49" s="12">
        <f t="shared" si="12"/>
        <v>0</v>
      </c>
      <c r="AA49" s="4" t="s">
        <v>10</v>
      </c>
      <c r="AB49" s="11">
        <f>IFERROR(VLOOKUP(AA49,Curr!$B$2:$C$13,2,FALSE),0)</f>
        <v>10.8</v>
      </c>
      <c r="AC49" s="12">
        <f t="shared" si="13"/>
        <v>0</v>
      </c>
      <c r="AD49" s="12">
        <f t="shared" si="14"/>
        <v>0</v>
      </c>
      <c r="AE49" s="13">
        <f t="shared" si="15"/>
        <v>0</v>
      </c>
    </row>
    <row r="50" spans="2:31" x14ac:dyDescent="0.25">
      <c r="B50" s="4"/>
      <c r="E50" s="3"/>
      <c r="F50" s="1"/>
      <c r="G50" s="1"/>
      <c r="H50" s="1"/>
      <c r="K50" s="4"/>
      <c r="L50" s="4"/>
      <c r="M50" s="4"/>
      <c r="N50" s="4"/>
      <c r="O50" s="4"/>
      <c r="P50" s="33"/>
      <c r="Q50" s="25"/>
      <c r="R50" s="25"/>
      <c r="S50" s="12">
        <f t="shared" si="8"/>
        <v>0</v>
      </c>
      <c r="T50" s="5">
        <v>0</v>
      </c>
      <c r="U50" s="12">
        <f t="shared" si="9"/>
        <v>0</v>
      </c>
      <c r="V50" s="25" t="s">
        <v>10</v>
      </c>
      <c r="W50" s="11">
        <f>IFERROR(VLOOKUP(V50,Curr!$B$2:$C$13,2,FALSE),0)</f>
        <v>10.8</v>
      </c>
      <c r="X50" s="12">
        <f t="shared" si="10"/>
        <v>0</v>
      </c>
      <c r="Y50" s="26">
        <f t="shared" si="11"/>
        <v>0</v>
      </c>
      <c r="Z50" s="12">
        <f t="shared" si="12"/>
        <v>0</v>
      </c>
      <c r="AA50" s="4" t="s">
        <v>10</v>
      </c>
      <c r="AB50" s="11">
        <f>IFERROR(VLOOKUP(AA50,Curr!$B$2:$C$13,2,FALSE),0)</f>
        <v>10.8</v>
      </c>
      <c r="AC50" s="12">
        <f t="shared" si="13"/>
        <v>0</v>
      </c>
      <c r="AD50" s="12">
        <f t="shared" si="14"/>
        <v>0</v>
      </c>
      <c r="AE50" s="13">
        <f t="shared" si="15"/>
        <v>0</v>
      </c>
    </row>
    <row r="51" spans="2:31" x14ac:dyDescent="0.25">
      <c r="B51" s="4"/>
      <c r="C51" s="1" t="s">
        <v>107</v>
      </c>
      <c r="D51" s="1" t="s">
        <v>56</v>
      </c>
      <c r="E51" s="3" t="s">
        <v>64</v>
      </c>
      <c r="F51" s="3"/>
      <c r="G51" s="24"/>
      <c r="H51" s="24"/>
      <c r="J51" s="1" t="s">
        <v>164</v>
      </c>
      <c r="K51" s="4"/>
      <c r="L51" s="4"/>
      <c r="M51" s="4"/>
      <c r="N51" s="4"/>
      <c r="O51" s="4"/>
      <c r="P51" s="33" t="s">
        <v>167</v>
      </c>
      <c r="Q51" s="25">
        <v>200</v>
      </c>
      <c r="R51" s="25">
        <v>4</v>
      </c>
      <c r="S51" s="12">
        <f t="shared" si="8"/>
        <v>800</v>
      </c>
      <c r="T51" s="5">
        <v>0</v>
      </c>
      <c r="U51" s="12">
        <f t="shared" si="9"/>
        <v>800</v>
      </c>
      <c r="V51" s="25" t="s">
        <v>8</v>
      </c>
      <c r="W51" s="11">
        <f>IFERROR(VLOOKUP(V51,Curr!$B$2:$C$13,2,FALSE),0)</f>
        <v>1</v>
      </c>
      <c r="X51" s="12">
        <f t="shared" si="10"/>
        <v>800</v>
      </c>
      <c r="Y51" s="26">
        <f>Q51/11/0.8</f>
        <v>22.727272727272727</v>
      </c>
      <c r="Z51" s="12">
        <f t="shared" si="12"/>
        <v>90.909090909090907</v>
      </c>
      <c r="AA51" s="4" t="s">
        <v>10</v>
      </c>
      <c r="AB51" s="11">
        <f>IFERROR(VLOOKUP(AA51,Curr!$B$2:$C$13,2,FALSE),0)</f>
        <v>10.8</v>
      </c>
      <c r="AC51" s="12">
        <f t="shared" si="13"/>
        <v>981.81818181818187</v>
      </c>
      <c r="AD51" s="12">
        <f t="shared" si="14"/>
        <v>181.81818181818187</v>
      </c>
      <c r="AE51" s="13">
        <f t="shared" si="15"/>
        <v>0.18518518518518523</v>
      </c>
    </row>
    <row r="52" spans="2:31" x14ac:dyDescent="0.25">
      <c r="B52" s="4"/>
      <c r="C52" s="1" t="s">
        <v>107</v>
      </c>
      <c r="D52" s="1" t="s">
        <v>51</v>
      </c>
      <c r="E52" s="3" t="s">
        <v>64</v>
      </c>
      <c r="F52" s="3"/>
      <c r="G52" s="24"/>
      <c r="H52" s="24"/>
      <c r="J52" s="1" t="s">
        <v>109</v>
      </c>
      <c r="K52" s="4"/>
      <c r="L52" s="4"/>
      <c r="M52" s="4"/>
      <c r="N52" s="4"/>
      <c r="O52" s="4"/>
      <c r="P52" s="33"/>
      <c r="Q52" s="25">
        <v>0</v>
      </c>
      <c r="R52" s="25">
        <v>0</v>
      </c>
      <c r="S52" s="12">
        <f t="shared" si="8"/>
        <v>0</v>
      </c>
      <c r="T52" s="5">
        <v>0</v>
      </c>
      <c r="U52" s="12">
        <f t="shared" si="9"/>
        <v>0</v>
      </c>
      <c r="V52" s="25" t="s">
        <v>10</v>
      </c>
      <c r="W52" s="11">
        <f>IFERROR(VLOOKUP(V52,Curr!$B$2:$C$13,2,FALSE),0)</f>
        <v>10.8</v>
      </c>
      <c r="X52" s="12">
        <f t="shared" si="10"/>
        <v>0</v>
      </c>
      <c r="Y52" s="26">
        <f t="shared" ref="Y52:Y53" si="18">Q52</f>
        <v>0</v>
      </c>
      <c r="Z52" s="12">
        <f t="shared" si="12"/>
        <v>0</v>
      </c>
      <c r="AA52" s="4" t="s">
        <v>10</v>
      </c>
      <c r="AB52" s="11">
        <f>IFERROR(VLOOKUP(AA52,Curr!$B$2:$C$13,2,FALSE),0)</f>
        <v>10.8</v>
      </c>
      <c r="AC52" s="12">
        <f t="shared" si="13"/>
        <v>0</v>
      </c>
      <c r="AD52" s="12">
        <f t="shared" si="14"/>
        <v>0</v>
      </c>
      <c r="AE52" s="13">
        <f t="shared" si="15"/>
        <v>0</v>
      </c>
    </row>
    <row r="53" spans="2:31" x14ac:dyDescent="0.25">
      <c r="B53" s="4"/>
      <c r="C53" s="1" t="s">
        <v>107</v>
      </c>
      <c r="D53" s="1" t="s">
        <v>56</v>
      </c>
      <c r="E53" s="3" t="s">
        <v>64</v>
      </c>
      <c r="F53" s="3"/>
      <c r="G53" s="24"/>
      <c r="H53" s="24"/>
      <c r="J53" s="1" t="s">
        <v>165</v>
      </c>
      <c r="K53" s="4"/>
      <c r="L53" s="4"/>
      <c r="M53" s="4"/>
      <c r="N53" s="4"/>
      <c r="O53" s="4"/>
      <c r="P53" s="33" t="s">
        <v>163</v>
      </c>
      <c r="Q53" s="25">
        <v>75</v>
      </c>
      <c r="R53" s="25">
        <v>4</v>
      </c>
      <c r="S53" s="12">
        <f t="shared" si="8"/>
        <v>300</v>
      </c>
      <c r="T53" s="5">
        <v>0.2</v>
      </c>
      <c r="U53" s="12">
        <f t="shared" si="9"/>
        <v>240</v>
      </c>
      <c r="V53" s="25" t="s">
        <v>10</v>
      </c>
      <c r="W53" s="11">
        <f>IFERROR(VLOOKUP(V53,Curr!$B$2:$C$13,2,FALSE),0)</f>
        <v>10.8</v>
      </c>
      <c r="X53" s="12">
        <f t="shared" si="10"/>
        <v>2592</v>
      </c>
      <c r="Y53" s="26">
        <f t="shared" si="18"/>
        <v>75</v>
      </c>
      <c r="Z53" s="12">
        <f t="shared" si="12"/>
        <v>300</v>
      </c>
      <c r="AA53" s="4" t="s">
        <v>10</v>
      </c>
      <c r="AB53" s="11">
        <f>IFERROR(VLOOKUP(AA53,Curr!$B$2:$C$13,2,FALSE),0)</f>
        <v>10.8</v>
      </c>
      <c r="AC53" s="12">
        <f t="shared" si="13"/>
        <v>3240</v>
      </c>
      <c r="AD53" s="12">
        <f t="shared" si="14"/>
        <v>648</v>
      </c>
      <c r="AE53" s="13">
        <f t="shared" si="15"/>
        <v>0.2</v>
      </c>
    </row>
    <row r="54" spans="2:31" x14ac:dyDescent="0.25">
      <c r="B54" s="4"/>
      <c r="E54" s="3"/>
      <c r="F54" s="3"/>
      <c r="G54" s="24"/>
      <c r="H54" s="24"/>
      <c r="K54" s="4"/>
      <c r="L54" s="4"/>
      <c r="M54" s="4"/>
      <c r="N54" s="4"/>
      <c r="O54" s="4"/>
      <c r="P54" s="33"/>
      <c r="Q54" s="25"/>
      <c r="R54" s="25"/>
      <c r="S54" s="12">
        <f t="shared" si="8"/>
        <v>0</v>
      </c>
      <c r="T54" s="5">
        <v>0</v>
      </c>
      <c r="U54" s="12">
        <f t="shared" si="9"/>
        <v>0</v>
      </c>
      <c r="V54" s="25" t="s">
        <v>10</v>
      </c>
      <c r="W54" s="11">
        <f>IFERROR(VLOOKUP(V54,Curr!$B$2:$C$13,2,FALSE),0)</f>
        <v>10.8</v>
      </c>
      <c r="X54" s="12">
        <f t="shared" si="10"/>
        <v>0</v>
      </c>
      <c r="Y54" s="26">
        <f t="shared" si="11"/>
        <v>0</v>
      </c>
      <c r="Z54" s="12">
        <f t="shared" si="12"/>
        <v>0</v>
      </c>
      <c r="AA54" s="4" t="s">
        <v>10</v>
      </c>
      <c r="AB54" s="11">
        <f>IFERROR(VLOOKUP(AA54,Curr!$B$2:$C$13,2,FALSE),0)</f>
        <v>10.8</v>
      </c>
      <c r="AC54" s="12">
        <f t="shared" si="13"/>
        <v>0</v>
      </c>
      <c r="AD54" s="12">
        <f t="shared" si="14"/>
        <v>0</v>
      </c>
      <c r="AE54" s="13">
        <f t="shared" si="15"/>
        <v>0</v>
      </c>
    </row>
    <row r="55" spans="2:31" x14ac:dyDescent="0.25">
      <c r="B55" s="4"/>
      <c r="C55" s="1" t="s">
        <v>112</v>
      </c>
      <c r="D55" s="1" t="s">
        <v>49</v>
      </c>
      <c r="E55" s="3" t="s">
        <v>68</v>
      </c>
      <c r="F55" s="3"/>
      <c r="G55" s="24"/>
      <c r="H55" s="24"/>
      <c r="J55" s="1" t="s">
        <v>134</v>
      </c>
      <c r="K55" s="4"/>
      <c r="L55" s="4"/>
      <c r="M55" s="4"/>
      <c r="N55" s="4"/>
      <c r="O55" s="4"/>
      <c r="P55" s="33" t="s">
        <v>166</v>
      </c>
      <c r="Q55" s="25">
        <v>2290</v>
      </c>
      <c r="R55" s="25">
        <v>1</v>
      </c>
      <c r="S55" s="12">
        <f t="shared" si="8"/>
        <v>2290</v>
      </c>
      <c r="T55" s="5">
        <v>0.15</v>
      </c>
      <c r="U55" s="12">
        <f t="shared" si="9"/>
        <v>1946.5</v>
      </c>
      <c r="V55" s="25" t="s">
        <v>8</v>
      </c>
      <c r="W55" s="11">
        <f>IFERROR(VLOOKUP(V55,Curr!$B$2:$C$13,2,FALSE),0)</f>
        <v>1</v>
      </c>
      <c r="X55" s="12">
        <f t="shared" si="10"/>
        <v>1946.5</v>
      </c>
      <c r="Y55" s="26">
        <f>Q55/11/0.9</f>
        <v>231.31313131313132</v>
      </c>
      <c r="Z55" s="12">
        <f t="shared" si="12"/>
        <v>231.31313131313132</v>
      </c>
      <c r="AA55" s="4" t="s">
        <v>10</v>
      </c>
      <c r="AB55" s="11">
        <f>IFERROR(VLOOKUP(AA55,Curr!$B$2:$C$13,2,FALSE),0)</f>
        <v>10.8</v>
      </c>
      <c r="AC55" s="12">
        <f t="shared" si="13"/>
        <v>2498.1818181818185</v>
      </c>
      <c r="AD55" s="12">
        <f t="shared" si="14"/>
        <v>551.68181818181847</v>
      </c>
      <c r="AE55" s="13">
        <f t="shared" si="15"/>
        <v>0.22083333333333344</v>
      </c>
    </row>
    <row r="56" spans="2:31" x14ac:dyDescent="0.25">
      <c r="B56" s="4"/>
      <c r="C56" s="1" t="s">
        <v>112</v>
      </c>
      <c r="D56" s="1" t="s">
        <v>76</v>
      </c>
      <c r="E56" s="3" t="s">
        <v>68</v>
      </c>
      <c r="F56" s="3"/>
      <c r="G56" s="24"/>
      <c r="H56" s="24"/>
      <c r="J56" s="1" t="s">
        <v>168</v>
      </c>
      <c r="K56" s="4"/>
      <c r="L56" s="4"/>
      <c r="M56" s="4"/>
      <c r="N56" s="4"/>
      <c r="O56" s="4"/>
      <c r="P56" s="33" t="s">
        <v>169</v>
      </c>
      <c r="Q56" s="25">
        <v>1169</v>
      </c>
      <c r="R56" s="25">
        <v>4</v>
      </c>
      <c r="S56" s="12">
        <f t="shared" si="8"/>
        <v>4676</v>
      </c>
      <c r="T56" s="5">
        <v>0</v>
      </c>
      <c r="U56" s="12">
        <f t="shared" si="9"/>
        <v>4676</v>
      </c>
      <c r="V56" s="25" t="s">
        <v>8</v>
      </c>
      <c r="W56" s="11">
        <f>IFERROR(VLOOKUP(V56,Curr!$B$2:$C$13,2,FALSE),0)</f>
        <v>1</v>
      </c>
      <c r="X56" s="12">
        <f t="shared" si="10"/>
        <v>4676</v>
      </c>
      <c r="Y56" s="26">
        <f>Q56/11/0.8</f>
        <v>132.84090909090907</v>
      </c>
      <c r="Z56" s="12">
        <f t="shared" si="12"/>
        <v>531.36363636363626</v>
      </c>
      <c r="AA56" s="4" t="s">
        <v>10</v>
      </c>
      <c r="AB56" s="11">
        <f>IFERROR(VLOOKUP(AA56,Curr!$B$2:$C$13,2,FALSE),0)</f>
        <v>10.8</v>
      </c>
      <c r="AC56" s="12">
        <f t="shared" si="13"/>
        <v>5738.7272727272721</v>
      </c>
      <c r="AD56" s="12">
        <f t="shared" si="14"/>
        <v>1062.7272727272721</v>
      </c>
      <c r="AE56" s="13">
        <f t="shared" si="15"/>
        <v>0.18518518518518509</v>
      </c>
    </row>
    <row r="57" spans="2:31" x14ac:dyDescent="0.25">
      <c r="B57" s="4"/>
      <c r="C57" s="1" t="s">
        <v>112</v>
      </c>
      <c r="D57" s="1" t="s">
        <v>74</v>
      </c>
      <c r="E57" s="3" t="s">
        <v>68</v>
      </c>
      <c r="F57" s="3"/>
      <c r="G57" s="24"/>
      <c r="H57" s="24"/>
      <c r="J57" s="1" t="s">
        <v>205</v>
      </c>
      <c r="K57" s="4"/>
      <c r="L57" s="4"/>
      <c r="M57" s="4"/>
      <c r="N57" s="4"/>
      <c r="O57" s="4"/>
      <c r="P57" s="33"/>
      <c r="Q57" s="25">
        <v>372</v>
      </c>
      <c r="R57" s="25">
        <v>1</v>
      </c>
      <c r="S57" s="12">
        <f t="shared" ref="S57" si="19">+Q57*R57</f>
        <v>372</v>
      </c>
      <c r="T57" s="5">
        <v>0</v>
      </c>
      <c r="U57" s="12">
        <f t="shared" ref="U57" si="20">S57*(1-T57)</f>
        <v>372</v>
      </c>
      <c r="V57" s="25" t="s">
        <v>10</v>
      </c>
      <c r="W57" s="11">
        <f>IFERROR(VLOOKUP(V57,Curr!$B$2:$C$13,2,FALSE),0)</f>
        <v>10.8</v>
      </c>
      <c r="X57" s="12">
        <f t="shared" ref="X57" si="21">U57*W57</f>
        <v>4017.6000000000004</v>
      </c>
      <c r="Y57" s="26">
        <f>Q57/0.8</f>
        <v>465</v>
      </c>
      <c r="Z57" s="12">
        <f t="shared" ref="Z57" si="22">+Y57*R57</f>
        <v>465</v>
      </c>
      <c r="AA57" s="4" t="s">
        <v>10</v>
      </c>
      <c r="AB57" s="11">
        <f>IFERROR(VLOOKUP(AA57,Curr!$B$2:$C$13,2,FALSE),0)</f>
        <v>10.8</v>
      </c>
      <c r="AC57" s="12">
        <f t="shared" ref="AC57" si="23">+Y57*AB57*R57</f>
        <v>5022</v>
      </c>
      <c r="AD57" s="12">
        <f t="shared" ref="AD57" si="24">+AC57-X57</f>
        <v>1004.3999999999996</v>
      </c>
      <c r="AE57" s="13">
        <f t="shared" ref="AE57" si="25">IFERROR(AD57/AC57,0)</f>
        <v>0.19999999999999993</v>
      </c>
    </row>
    <row r="58" spans="2:31" x14ac:dyDescent="0.25">
      <c r="B58" s="4"/>
      <c r="C58" s="1" t="s">
        <v>112</v>
      </c>
      <c r="D58" s="1" t="s">
        <v>75</v>
      </c>
      <c r="E58" s="3" t="s">
        <v>68</v>
      </c>
      <c r="F58" s="3"/>
      <c r="G58" s="24"/>
      <c r="H58" s="24"/>
      <c r="J58" s="1" t="s">
        <v>200</v>
      </c>
      <c r="K58" s="4"/>
      <c r="L58" s="4"/>
      <c r="M58" s="4"/>
      <c r="N58" s="4"/>
      <c r="O58" s="4"/>
      <c r="P58" s="33"/>
      <c r="Q58" s="25">
        <v>0</v>
      </c>
      <c r="R58" s="25">
        <v>0</v>
      </c>
      <c r="S58" s="12">
        <f t="shared" ref="S58" si="26">+Q58*R58</f>
        <v>0</v>
      </c>
      <c r="T58" s="5">
        <v>0</v>
      </c>
      <c r="U58" s="12">
        <f t="shared" ref="U58" si="27">S58*(1-T58)</f>
        <v>0</v>
      </c>
      <c r="V58" s="25" t="s">
        <v>10</v>
      </c>
      <c r="W58" s="11">
        <f>IFERROR(VLOOKUP(V58,Curr!$B$2:$C$13,2,FALSE),0)</f>
        <v>10.8</v>
      </c>
      <c r="X58" s="12">
        <f t="shared" ref="X58" si="28">U58*W58</f>
        <v>0</v>
      </c>
      <c r="Y58" s="26">
        <f t="shared" ref="Y58" si="29">Q58</f>
        <v>0</v>
      </c>
      <c r="Z58" s="12">
        <f t="shared" ref="Z58" si="30">+Y58*R58</f>
        <v>0</v>
      </c>
      <c r="AA58" s="4" t="s">
        <v>10</v>
      </c>
      <c r="AB58" s="11">
        <f>IFERROR(VLOOKUP(AA58,Curr!$B$2:$C$13,2,FALSE),0)</f>
        <v>10.8</v>
      </c>
      <c r="AC58" s="12">
        <f t="shared" ref="AC58" si="31">+Y58*AB58*R58</f>
        <v>0</v>
      </c>
      <c r="AD58" s="12">
        <f t="shared" ref="AD58" si="32">+AC58-X58</f>
        <v>0</v>
      </c>
      <c r="AE58" s="13">
        <f t="shared" ref="AE58" si="33">IFERROR(AD58/AC58,0)</f>
        <v>0</v>
      </c>
    </row>
    <row r="59" spans="2:31" x14ac:dyDescent="0.25">
      <c r="B59" s="4"/>
      <c r="C59" s="1" t="s">
        <v>112</v>
      </c>
      <c r="D59" s="1" t="s">
        <v>50</v>
      </c>
      <c r="E59" s="3" t="s">
        <v>68</v>
      </c>
      <c r="F59" s="3" t="s">
        <v>120</v>
      </c>
      <c r="G59" s="24"/>
      <c r="H59" s="24"/>
      <c r="J59" s="1" t="s">
        <v>204</v>
      </c>
      <c r="K59" s="4"/>
      <c r="L59" s="4"/>
      <c r="M59" s="4"/>
      <c r="N59" s="4"/>
      <c r="O59" s="4"/>
      <c r="P59" s="33" t="s">
        <v>203</v>
      </c>
      <c r="Q59" s="25">
        <v>2995</v>
      </c>
      <c r="R59" s="25">
        <v>1</v>
      </c>
      <c r="S59" s="12">
        <f t="shared" si="8"/>
        <v>2995</v>
      </c>
      <c r="T59" s="5">
        <v>0</v>
      </c>
      <c r="U59" s="12">
        <f t="shared" si="9"/>
        <v>2995</v>
      </c>
      <c r="V59" s="25" t="s">
        <v>10</v>
      </c>
      <c r="W59" s="11">
        <f>IFERROR(VLOOKUP(V59,Curr!$B$2:$C$13,2,FALSE),0)</f>
        <v>10.8</v>
      </c>
      <c r="X59" s="12">
        <f t="shared" si="10"/>
        <v>32346.000000000004</v>
      </c>
      <c r="Y59" s="26">
        <f>Q59/0.85</f>
        <v>3523.5294117647059</v>
      </c>
      <c r="Z59" s="12">
        <f t="shared" si="12"/>
        <v>3523.5294117647059</v>
      </c>
      <c r="AA59" s="4" t="s">
        <v>10</v>
      </c>
      <c r="AB59" s="11">
        <f>IFERROR(VLOOKUP(AA59,Curr!$B$2:$C$13,2,FALSE),0)</f>
        <v>10.8</v>
      </c>
      <c r="AC59" s="12">
        <f t="shared" si="13"/>
        <v>38054.117647058825</v>
      </c>
      <c r="AD59" s="12">
        <f t="shared" si="14"/>
        <v>5708.1176470588216</v>
      </c>
      <c r="AE59" s="13">
        <f t="shared" si="15"/>
        <v>0.14999999999999994</v>
      </c>
    </row>
    <row r="60" spans="2:31" x14ac:dyDescent="0.25">
      <c r="B60" s="4"/>
      <c r="C60" s="1" t="s">
        <v>112</v>
      </c>
      <c r="D60" s="1" t="s">
        <v>51</v>
      </c>
      <c r="E60" s="3" t="s">
        <v>68</v>
      </c>
      <c r="F60" s="3"/>
      <c r="G60" s="24"/>
      <c r="H60" s="24"/>
      <c r="J60" s="1" t="s">
        <v>114</v>
      </c>
      <c r="K60" s="4"/>
      <c r="L60" s="4"/>
      <c r="M60" s="4"/>
      <c r="N60" s="4"/>
      <c r="O60" s="4"/>
      <c r="P60" s="33"/>
      <c r="Q60" s="25">
        <v>0</v>
      </c>
      <c r="R60" s="25">
        <v>0</v>
      </c>
      <c r="S60" s="12">
        <f t="shared" si="8"/>
        <v>0</v>
      </c>
      <c r="T60" s="5">
        <v>0</v>
      </c>
      <c r="U60" s="12">
        <f t="shared" si="9"/>
        <v>0</v>
      </c>
      <c r="V60" s="25" t="s">
        <v>10</v>
      </c>
      <c r="W60" s="11">
        <f>IFERROR(VLOOKUP(V60,Curr!$B$2:$C$13,2,FALSE),0)</f>
        <v>10.8</v>
      </c>
      <c r="X60" s="12">
        <f t="shared" si="10"/>
        <v>0</v>
      </c>
      <c r="Y60" s="26">
        <f t="shared" ref="Y60" si="34">Q60</f>
        <v>0</v>
      </c>
      <c r="Z60" s="12">
        <f t="shared" si="12"/>
        <v>0</v>
      </c>
      <c r="AA60" s="4" t="s">
        <v>10</v>
      </c>
      <c r="AB60" s="11">
        <f>IFERROR(VLOOKUP(AA60,Curr!$B$2:$C$13,2,FALSE),0)</f>
        <v>10.8</v>
      </c>
      <c r="AC60" s="12">
        <f t="shared" si="13"/>
        <v>0</v>
      </c>
      <c r="AD60" s="12">
        <f t="shared" si="14"/>
        <v>0</v>
      </c>
      <c r="AE60" s="13">
        <f t="shared" si="15"/>
        <v>0</v>
      </c>
    </row>
    <row r="61" spans="2:31" x14ac:dyDescent="0.25">
      <c r="B61" s="4"/>
      <c r="E61" s="3"/>
      <c r="F61" s="3"/>
      <c r="G61" s="24"/>
      <c r="H61" s="24"/>
      <c r="K61" s="4"/>
      <c r="L61" s="4"/>
      <c r="M61" s="4"/>
      <c r="N61" s="4"/>
      <c r="O61" s="4"/>
      <c r="P61" s="33"/>
      <c r="Q61" s="25"/>
      <c r="R61" s="25"/>
      <c r="S61" s="12">
        <f t="shared" si="8"/>
        <v>0</v>
      </c>
      <c r="T61" s="5">
        <v>0</v>
      </c>
      <c r="U61" s="12">
        <f t="shared" si="9"/>
        <v>0</v>
      </c>
      <c r="V61" s="25" t="s">
        <v>10</v>
      </c>
      <c r="W61" s="11">
        <f>IFERROR(VLOOKUP(V61,Curr!$B$2:$C$13,2,FALSE),0)</f>
        <v>10.8</v>
      </c>
      <c r="X61" s="12">
        <f t="shared" si="10"/>
        <v>0</v>
      </c>
      <c r="Y61" s="26">
        <f t="shared" si="11"/>
        <v>0</v>
      </c>
      <c r="Z61" s="12">
        <f t="shared" si="12"/>
        <v>0</v>
      </c>
      <c r="AA61" s="4" t="s">
        <v>10</v>
      </c>
      <c r="AB61" s="11">
        <f>IFERROR(VLOOKUP(AA61,Curr!$B$2:$C$13,2,FALSE),0)</f>
        <v>10.8</v>
      </c>
      <c r="AC61" s="12">
        <f t="shared" si="13"/>
        <v>0</v>
      </c>
      <c r="AD61" s="12">
        <f t="shared" si="14"/>
        <v>0</v>
      </c>
      <c r="AE61" s="13">
        <f t="shared" si="15"/>
        <v>0</v>
      </c>
    </row>
    <row r="62" spans="2:31" x14ac:dyDescent="0.25">
      <c r="B62" s="4"/>
      <c r="C62" s="1" t="s">
        <v>113</v>
      </c>
      <c r="D62" s="1" t="s">
        <v>75</v>
      </c>
      <c r="E62" s="3" t="s">
        <v>54</v>
      </c>
      <c r="F62" s="3"/>
      <c r="G62" s="24"/>
      <c r="H62" s="24"/>
      <c r="J62" s="1" t="s">
        <v>209</v>
      </c>
      <c r="K62" s="4"/>
      <c r="L62" s="4"/>
      <c r="M62" s="4"/>
      <c r="N62" s="4"/>
      <c r="O62" s="4"/>
      <c r="P62" s="33" t="s">
        <v>211</v>
      </c>
      <c r="Q62" s="25">
        <v>1680</v>
      </c>
      <c r="R62" s="25">
        <v>1</v>
      </c>
      <c r="S62" s="12">
        <f t="shared" si="8"/>
        <v>1680</v>
      </c>
      <c r="T62" s="5">
        <v>0.12</v>
      </c>
      <c r="U62" s="12">
        <f t="shared" si="9"/>
        <v>1478.4</v>
      </c>
      <c r="V62" s="25" t="s">
        <v>8</v>
      </c>
      <c r="W62" s="11">
        <f>IFERROR(VLOOKUP(V62,Curr!$B$2:$C$13,2,FALSE),0)</f>
        <v>1</v>
      </c>
      <c r="X62" s="12">
        <f t="shared" si="10"/>
        <v>1478.4</v>
      </c>
      <c r="Y62" s="26">
        <f>Q62/11/0.8</f>
        <v>190.90909090909088</v>
      </c>
      <c r="Z62" s="12">
        <f t="shared" si="12"/>
        <v>190.90909090909088</v>
      </c>
      <c r="AA62" s="4" t="s">
        <v>10</v>
      </c>
      <c r="AB62" s="11">
        <f>IFERROR(VLOOKUP(AA62,Curr!$B$2:$C$13,2,FALSE),0)</f>
        <v>10.8</v>
      </c>
      <c r="AC62" s="12">
        <f t="shared" si="13"/>
        <v>2061.8181818181815</v>
      </c>
      <c r="AD62" s="12">
        <f t="shared" si="14"/>
        <v>583.41818181818144</v>
      </c>
      <c r="AE62" s="13">
        <f t="shared" si="15"/>
        <v>0.28296296296296281</v>
      </c>
    </row>
    <row r="63" spans="2:31" x14ac:dyDescent="0.25">
      <c r="B63" s="4"/>
      <c r="C63" s="1" t="s">
        <v>113</v>
      </c>
      <c r="D63" s="1" t="s">
        <v>51</v>
      </c>
      <c r="E63" s="3" t="s">
        <v>54</v>
      </c>
      <c r="F63" s="3"/>
      <c r="G63" s="24"/>
      <c r="H63" s="24"/>
      <c r="J63" s="1" t="s">
        <v>114</v>
      </c>
      <c r="K63" s="4"/>
      <c r="L63" s="4"/>
      <c r="M63" s="4"/>
      <c r="N63" s="4"/>
      <c r="O63" s="4"/>
      <c r="P63" s="33"/>
      <c r="Q63" s="25">
        <v>0</v>
      </c>
      <c r="R63" s="25">
        <v>0</v>
      </c>
      <c r="S63" s="12">
        <f t="shared" si="8"/>
        <v>0</v>
      </c>
      <c r="T63" s="5">
        <v>0</v>
      </c>
      <c r="U63" s="12">
        <f t="shared" si="9"/>
        <v>0</v>
      </c>
      <c r="V63" s="25" t="s">
        <v>10</v>
      </c>
      <c r="W63" s="11">
        <f>IFERROR(VLOOKUP(V63,Curr!$B$2:$C$13,2,FALSE),0)</f>
        <v>10.8</v>
      </c>
      <c r="X63" s="12">
        <f t="shared" si="10"/>
        <v>0</v>
      </c>
      <c r="Y63" s="26">
        <f t="shared" si="11"/>
        <v>0</v>
      </c>
      <c r="Z63" s="12">
        <f t="shared" si="12"/>
        <v>0</v>
      </c>
      <c r="AA63" s="4" t="s">
        <v>10</v>
      </c>
      <c r="AB63" s="11">
        <f>IFERROR(VLOOKUP(AA63,Curr!$B$2:$C$13,2,FALSE),0)</f>
        <v>10.8</v>
      </c>
      <c r="AC63" s="12">
        <f t="shared" si="13"/>
        <v>0</v>
      </c>
      <c r="AD63" s="12">
        <f t="shared" si="14"/>
        <v>0</v>
      </c>
      <c r="AE63" s="13">
        <f t="shared" si="15"/>
        <v>0</v>
      </c>
    </row>
    <row r="64" spans="2:31" x14ac:dyDescent="0.25">
      <c r="B64" s="4"/>
      <c r="E64" s="3"/>
      <c r="F64" s="3"/>
      <c r="G64" s="24"/>
      <c r="H64" s="24"/>
      <c r="K64" s="4"/>
      <c r="L64" s="4"/>
      <c r="M64" s="4"/>
      <c r="N64" s="4"/>
      <c r="O64" s="4"/>
      <c r="P64" s="27"/>
      <c r="Q64" s="25"/>
      <c r="R64" s="25"/>
      <c r="S64" s="12">
        <f t="shared" si="8"/>
        <v>0</v>
      </c>
      <c r="T64" s="5">
        <v>0</v>
      </c>
      <c r="U64" s="12">
        <f t="shared" si="9"/>
        <v>0</v>
      </c>
      <c r="V64" s="25" t="s">
        <v>10</v>
      </c>
      <c r="W64" s="11">
        <f>IFERROR(VLOOKUP(V64,Curr!$B$2:$C$13,2,FALSE),0)</f>
        <v>10.8</v>
      </c>
      <c r="X64" s="12">
        <f t="shared" si="10"/>
        <v>0</v>
      </c>
      <c r="Y64" s="26">
        <f t="shared" si="11"/>
        <v>0</v>
      </c>
      <c r="Z64" s="12">
        <f t="shared" si="12"/>
        <v>0</v>
      </c>
      <c r="AA64" s="4" t="s">
        <v>10</v>
      </c>
      <c r="AB64" s="11">
        <f>IFERROR(VLOOKUP(AA64,Curr!$B$2:$C$13,2,FALSE),0)</f>
        <v>10.8</v>
      </c>
      <c r="AC64" s="12">
        <f t="shared" si="13"/>
        <v>0</v>
      </c>
      <c r="AD64" s="12">
        <f t="shared" si="14"/>
        <v>0</v>
      </c>
      <c r="AE64" s="13">
        <f t="shared" si="15"/>
        <v>0</v>
      </c>
    </row>
    <row r="65" spans="2:31" x14ac:dyDescent="0.25">
      <c r="B65" s="4"/>
      <c r="C65" s="1" t="s">
        <v>117</v>
      </c>
      <c r="D65" s="1" t="s">
        <v>75</v>
      </c>
      <c r="E65" s="3" t="s">
        <v>118</v>
      </c>
      <c r="F65" s="3"/>
      <c r="G65" s="24"/>
      <c r="H65" s="24"/>
      <c r="J65" s="1" t="s">
        <v>210</v>
      </c>
      <c r="K65" s="4"/>
      <c r="L65" s="4"/>
      <c r="M65" s="4"/>
      <c r="N65" s="4"/>
      <c r="O65" s="4"/>
      <c r="P65" s="33"/>
      <c r="Q65" s="25">
        <v>0</v>
      </c>
      <c r="R65" s="25">
        <v>0</v>
      </c>
      <c r="S65" s="12">
        <f t="shared" si="8"/>
        <v>0</v>
      </c>
      <c r="T65" s="5">
        <v>0</v>
      </c>
      <c r="U65" s="12">
        <f t="shared" si="9"/>
        <v>0</v>
      </c>
      <c r="V65" s="25" t="s">
        <v>10</v>
      </c>
      <c r="W65" s="11">
        <f>IFERROR(VLOOKUP(V65,Curr!$B$2:$C$13,2,FALSE),0)</f>
        <v>10.8</v>
      </c>
      <c r="X65" s="12">
        <f t="shared" si="10"/>
        <v>0</v>
      </c>
      <c r="Y65" s="26">
        <f t="shared" si="11"/>
        <v>0</v>
      </c>
      <c r="Z65" s="12">
        <f t="shared" si="12"/>
        <v>0</v>
      </c>
      <c r="AA65" s="4" t="s">
        <v>10</v>
      </c>
      <c r="AB65" s="11">
        <f>IFERROR(VLOOKUP(AA65,Curr!$B$2:$C$13,2,FALSE),0)</f>
        <v>10.8</v>
      </c>
      <c r="AC65" s="12">
        <f t="shared" si="13"/>
        <v>0</v>
      </c>
      <c r="AD65" s="12">
        <f t="shared" si="14"/>
        <v>0</v>
      </c>
      <c r="AE65" s="13">
        <f t="shared" si="15"/>
        <v>0</v>
      </c>
    </row>
    <row r="66" spans="2:31" x14ac:dyDescent="0.25">
      <c r="B66" s="4"/>
      <c r="C66" s="1" t="s">
        <v>117</v>
      </c>
      <c r="D66" s="1" t="s">
        <v>51</v>
      </c>
      <c r="E66" s="3" t="s">
        <v>118</v>
      </c>
      <c r="F66" s="3"/>
      <c r="G66" s="24"/>
      <c r="H66" s="24"/>
      <c r="J66" s="1" t="s">
        <v>114</v>
      </c>
      <c r="K66" s="4"/>
      <c r="L66" s="4"/>
      <c r="M66" s="4"/>
      <c r="N66" s="4"/>
      <c r="O66" s="4"/>
      <c r="P66" s="33"/>
      <c r="Q66" s="25">
        <v>0</v>
      </c>
      <c r="R66" s="25">
        <v>0</v>
      </c>
      <c r="S66" s="12">
        <f t="shared" si="8"/>
        <v>0</v>
      </c>
      <c r="T66" s="5">
        <v>0</v>
      </c>
      <c r="U66" s="12">
        <f t="shared" si="9"/>
        <v>0</v>
      </c>
      <c r="V66" s="25" t="s">
        <v>10</v>
      </c>
      <c r="W66" s="11">
        <f>IFERROR(VLOOKUP(V66,Curr!$B$2:$C$13,2,FALSE),0)</f>
        <v>10.8</v>
      </c>
      <c r="X66" s="12">
        <f t="shared" si="10"/>
        <v>0</v>
      </c>
      <c r="Y66" s="26">
        <f t="shared" si="11"/>
        <v>0</v>
      </c>
      <c r="Z66" s="12">
        <f t="shared" si="12"/>
        <v>0</v>
      </c>
      <c r="AA66" s="4" t="s">
        <v>10</v>
      </c>
      <c r="AB66" s="11">
        <f>IFERROR(VLOOKUP(AA66,Curr!$B$2:$C$13,2,FALSE),0)</f>
        <v>10.8</v>
      </c>
      <c r="AC66" s="12">
        <f t="shared" si="13"/>
        <v>0</v>
      </c>
      <c r="AD66" s="12">
        <f t="shared" si="14"/>
        <v>0</v>
      </c>
      <c r="AE66" s="13">
        <f t="shared" si="15"/>
        <v>0</v>
      </c>
    </row>
    <row r="67" spans="2:31" x14ac:dyDescent="0.25">
      <c r="B67" s="4"/>
      <c r="E67" s="3"/>
      <c r="F67" s="3"/>
      <c r="G67" s="24"/>
      <c r="H67" s="24"/>
      <c r="K67" s="4"/>
      <c r="L67" s="4"/>
      <c r="M67" s="4"/>
      <c r="N67" s="4"/>
      <c r="O67" s="4"/>
      <c r="P67" s="27"/>
      <c r="Q67" s="25"/>
      <c r="R67" s="25"/>
      <c r="S67" s="12">
        <f t="shared" si="8"/>
        <v>0</v>
      </c>
      <c r="T67" s="5">
        <v>0</v>
      </c>
      <c r="U67" s="12">
        <f t="shared" si="9"/>
        <v>0</v>
      </c>
      <c r="V67" s="25" t="s">
        <v>10</v>
      </c>
      <c r="W67" s="11">
        <f>IFERROR(VLOOKUP(V67,Curr!$B$2:$C$13,2,FALSE),0)</f>
        <v>10.8</v>
      </c>
      <c r="X67" s="12">
        <f t="shared" si="10"/>
        <v>0</v>
      </c>
      <c r="Y67" s="26">
        <f t="shared" si="11"/>
        <v>0</v>
      </c>
      <c r="Z67" s="12">
        <f t="shared" si="12"/>
        <v>0</v>
      </c>
      <c r="AA67" s="4" t="s">
        <v>10</v>
      </c>
      <c r="AB67" s="11">
        <f>IFERROR(VLOOKUP(AA67,Curr!$B$2:$C$13,2,FALSE),0)</f>
        <v>10.8</v>
      </c>
      <c r="AC67" s="12">
        <f t="shared" si="13"/>
        <v>0</v>
      </c>
      <c r="AD67" s="12">
        <f t="shared" si="14"/>
        <v>0</v>
      </c>
      <c r="AE67" s="13">
        <f t="shared" si="15"/>
        <v>0</v>
      </c>
    </row>
    <row r="68" spans="2:31" x14ac:dyDescent="0.25">
      <c r="B68" s="4"/>
      <c r="C68" s="1" t="s">
        <v>119</v>
      </c>
      <c r="D68" s="1" t="s">
        <v>75</v>
      </c>
      <c r="E68" s="3" t="s">
        <v>120</v>
      </c>
      <c r="F68" s="3"/>
      <c r="G68" s="24"/>
      <c r="H68" s="24"/>
      <c r="J68" s="1" t="s">
        <v>201</v>
      </c>
      <c r="K68" s="4"/>
      <c r="L68" s="4"/>
      <c r="M68" s="4"/>
      <c r="N68" s="4"/>
      <c r="O68" s="4"/>
      <c r="P68" s="33"/>
      <c r="Q68" s="25">
        <v>0</v>
      </c>
      <c r="R68" s="25">
        <v>0</v>
      </c>
      <c r="S68" s="12">
        <f t="shared" si="8"/>
        <v>0</v>
      </c>
      <c r="T68" s="5">
        <v>0</v>
      </c>
      <c r="U68" s="12">
        <f t="shared" si="9"/>
        <v>0</v>
      </c>
      <c r="V68" s="25" t="s">
        <v>10</v>
      </c>
      <c r="W68" s="11">
        <f>IFERROR(VLOOKUP(V68,Curr!$B$2:$C$13,2,FALSE),0)</f>
        <v>10.8</v>
      </c>
      <c r="X68" s="12">
        <f t="shared" si="10"/>
        <v>0</v>
      </c>
      <c r="Y68" s="26">
        <f t="shared" si="11"/>
        <v>0</v>
      </c>
      <c r="Z68" s="12">
        <f t="shared" si="12"/>
        <v>0</v>
      </c>
      <c r="AA68" s="4" t="s">
        <v>10</v>
      </c>
      <c r="AB68" s="11">
        <f>IFERROR(VLOOKUP(AA68,Curr!$B$2:$C$13,2,FALSE),0)</f>
        <v>10.8</v>
      </c>
      <c r="AC68" s="12">
        <f t="shared" si="13"/>
        <v>0</v>
      </c>
      <c r="AD68" s="12">
        <f t="shared" si="14"/>
        <v>0</v>
      </c>
      <c r="AE68" s="13">
        <f t="shared" si="15"/>
        <v>0</v>
      </c>
    </row>
    <row r="69" spans="2:31" x14ac:dyDescent="0.25">
      <c r="B69" s="4"/>
      <c r="C69" s="1" t="s">
        <v>119</v>
      </c>
      <c r="D69" s="1" t="s">
        <v>74</v>
      </c>
      <c r="E69" s="3" t="s">
        <v>120</v>
      </c>
      <c r="F69" s="3"/>
      <c r="G69" s="24"/>
      <c r="H69" s="24"/>
      <c r="J69" s="1" t="s">
        <v>202</v>
      </c>
      <c r="K69" s="4"/>
      <c r="L69" s="4"/>
      <c r="M69" s="4"/>
      <c r="N69" s="4"/>
      <c r="O69" s="4"/>
      <c r="P69" s="33"/>
      <c r="Q69" s="25">
        <v>0</v>
      </c>
      <c r="R69" s="25">
        <v>0</v>
      </c>
      <c r="S69" s="12">
        <f t="shared" si="8"/>
        <v>0</v>
      </c>
      <c r="T69" s="5">
        <v>0</v>
      </c>
      <c r="U69" s="12">
        <f t="shared" si="9"/>
        <v>0</v>
      </c>
      <c r="V69" s="25" t="s">
        <v>10</v>
      </c>
      <c r="W69" s="11">
        <f>IFERROR(VLOOKUP(V69,Curr!$B$2:$C$13,2,FALSE),0)</f>
        <v>10.8</v>
      </c>
      <c r="X69" s="12">
        <f t="shared" si="10"/>
        <v>0</v>
      </c>
      <c r="Y69" s="26">
        <f t="shared" si="11"/>
        <v>0</v>
      </c>
      <c r="Z69" s="12">
        <f t="shared" si="12"/>
        <v>0</v>
      </c>
      <c r="AA69" s="4" t="s">
        <v>10</v>
      </c>
      <c r="AB69" s="11">
        <f>IFERROR(VLOOKUP(AA69,Curr!$B$2:$C$13,2,FALSE),0)</f>
        <v>10.8</v>
      </c>
      <c r="AC69" s="12">
        <f t="shared" si="13"/>
        <v>0</v>
      </c>
      <c r="AD69" s="12">
        <f t="shared" si="14"/>
        <v>0</v>
      </c>
      <c r="AE69" s="13">
        <f t="shared" si="15"/>
        <v>0</v>
      </c>
    </row>
    <row r="70" spans="2:31" x14ac:dyDescent="0.25">
      <c r="B70" s="4"/>
      <c r="C70" s="1" t="s">
        <v>119</v>
      </c>
      <c r="D70" s="1" t="s">
        <v>76</v>
      </c>
      <c r="E70" s="3" t="s">
        <v>120</v>
      </c>
      <c r="F70" s="3"/>
      <c r="G70" s="24"/>
      <c r="H70" s="24"/>
      <c r="J70" s="1" t="s">
        <v>173</v>
      </c>
      <c r="K70" s="4"/>
      <c r="L70" s="4"/>
      <c r="M70" s="4"/>
      <c r="N70" s="4"/>
      <c r="O70" s="4"/>
      <c r="P70" s="29" t="s">
        <v>206</v>
      </c>
      <c r="Q70" s="25">
        <v>1900</v>
      </c>
      <c r="R70" s="25">
        <v>4</v>
      </c>
      <c r="S70" s="12">
        <f t="shared" si="8"/>
        <v>7600</v>
      </c>
      <c r="T70" s="5">
        <v>0</v>
      </c>
      <c r="U70" s="12">
        <f t="shared" si="9"/>
        <v>7600</v>
      </c>
      <c r="V70" s="25" t="s">
        <v>8</v>
      </c>
      <c r="W70" s="11">
        <f>IFERROR(VLOOKUP(V70,Curr!$B$2:$C$13,2,FALSE),0)</f>
        <v>1</v>
      </c>
      <c r="X70" s="12">
        <f t="shared" si="10"/>
        <v>7600</v>
      </c>
      <c r="Y70" s="26">
        <f>Q70/11/0.8</f>
        <v>215.90909090909088</v>
      </c>
      <c r="Z70" s="12">
        <f t="shared" si="12"/>
        <v>863.63636363636351</v>
      </c>
      <c r="AA70" s="4" t="s">
        <v>10</v>
      </c>
      <c r="AB70" s="11">
        <f>IFERROR(VLOOKUP(AA70,Curr!$B$2:$C$13,2,FALSE),0)</f>
        <v>10.8</v>
      </c>
      <c r="AC70" s="12">
        <f t="shared" si="13"/>
        <v>9327.2727272727261</v>
      </c>
      <c r="AD70" s="12">
        <f t="shared" si="14"/>
        <v>1727.2727272727261</v>
      </c>
      <c r="AE70" s="13">
        <f t="shared" si="15"/>
        <v>0.18518518518518509</v>
      </c>
    </row>
    <row r="71" spans="2:31" x14ac:dyDescent="0.25">
      <c r="B71" s="4"/>
      <c r="C71" s="1" t="s">
        <v>119</v>
      </c>
      <c r="D71" s="1" t="s">
        <v>49</v>
      </c>
      <c r="E71" s="3" t="s">
        <v>120</v>
      </c>
      <c r="F71" s="3"/>
      <c r="G71" s="24"/>
      <c r="H71" s="24"/>
      <c r="J71" s="1" t="s">
        <v>174</v>
      </c>
      <c r="K71" s="4"/>
      <c r="L71" s="4"/>
      <c r="M71" s="4"/>
      <c r="N71" s="4"/>
      <c r="O71" s="4"/>
      <c r="P71" s="33"/>
      <c r="Q71" s="25">
        <v>0</v>
      </c>
      <c r="R71" s="25">
        <v>0</v>
      </c>
      <c r="S71" s="12">
        <f t="shared" si="8"/>
        <v>0</v>
      </c>
      <c r="T71" s="5">
        <v>0</v>
      </c>
      <c r="U71" s="12">
        <f t="shared" si="9"/>
        <v>0</v>
      </c>
      <c r="V71" s="25" t="s">
        <v>10</v>
      </c>
      <c r="W71" s="11">
        <f>IFERROR(VLOOKUP(V71,Curr!$B$2:$C$13,2,FALSE),0)</f>
        <v>10.8</v>
      </c>
      <c r="X71" s="12">
        <f t="shared" si="10"/>
        <v>0</v>
      </c>
      <c r="Y71" s="26">
        <f t="shared" ref="Y71:Y73" si="35">Q71</f>
        <v>0</v>
      </c>
      <c r="Z71" s="12">
        <f t="shared" si="12"/>
        <v>0</v>
      </c>
      <c r="AA71" s="4" t="s">
        <v>10</v>
      </c>
      <c r="AB71" s="11">
        <f>IFERROR(VLOOKUP(AA71,Curr!$B$2:$C$13,2,FALSE),0)</f>
        <v>10.8</v>
      </c>
      <c r="AC71" s="12">
        <f t="shared" si="13"/>
        <v>0</v>
      </c>
      <c r="AD71" s="12">
        <f t="shared" si="14"/>
        <v>0</v>
      </c>
      <c r="AE71" s="13">
        <f t="shared" si="15"/>
        <v>0</v>
      </c>
    </row>
    <row r="72" spans="2:31" x14ac:dyDescent="0.25">
      <c r="B72" s="4"/>
      <c r="C72" s="1" t="s">
        <v>119</v>
      </c>
      <c r="D72" s="1" t="s">
        <v>50</v>
      </c>
      <c r="E72" s="3" t="s">
        <v>120</v>
      </c>
      <c r="F72" s="3" t="s">
        <v>78</v>
      </c>
      <c r="G72" s="24"/>
      <c r="H72" s="24"/>
      <c r="J72" s="1" t="s">
        <v>207</v>
      </c>
      <c r="K72" s="4"/>
      <c r="L72" s="4"/>
      <c r="M72" s="4"/>
      <c r="N72" s="4"/>
      <c r="O72" s="4"/>
      <c r="P72" s="33" t="s">
        <v>179</v>
      </c>
      <c r="Q72" s="25">
        <v>275</v>
      </c>
      <c r="R72" s="25">
        <v>1</v>
      </c>
      <c r="S72" s="12">
        <f t="shared" si="8"/>
        <v>275</v>
      </c>
      <c r="T72" s="5">
        <v>0</v>
      </c>
      <c r="U72" s="12">
        <f t="shared" si="9"/>
        <v>275</v>
      </c>
      <c r="V72" s="25" t="s">
        <v>10</v>
      </c>
      <c r="W72" s="11">
        <f>IFERROR(VLOOKUP(V72,Curr!$B$2:$C$13,2,FALSE),0)</f>
        <v>10.8</v>
      </c>
      <c r="X72" s="12">
        <f t="shared" si="10"/>
        <v>2970</v>
      </c>
      <c r="Y72" s="26">
        <f>Q72/0.85</f>
        <v>323.52941176470591</v>
      </c>
      <c r="Z72" s="12">
        <f t="shared" si="12"/>
        <v>323.52941176470591</v>
      </c>
      <c r="AA72" s="4" t="s">
        <v>10</v>
      </c>
      <c r="AB72" s="11">
        <f>IFERROR(VLOOKUP(AA72,Curr!$B$2:$C$13,2,FALSE),0)</f>
        <v>10.8</v>
      </c>
      <c r="AC72" s="12">
        <f t="shared" si="13"/>
        <v>3494.1176470588239</v>
      </c>
      <c r="AD72" s="12">
        <f t="shared" si="14"/>
        <v>524.11764705882388</v>
      </c>
      <c r="AE72" s="13">
        <f t="shared" si="15"/>
        <v>0.15000000000000008</v>
      </c>
    </row>
    <row r="73" spans="2:31" x14ac:dyDescent="0.25">
      <c r="B73" s="4"/>
      <c r="C73" s="1" t="s">
        <v>119</v>
      </c>
      <c r="D73" s="1" t="s">
        <v>51</v>
      </c>
      <c r="E73" s="3" t="s">
        <v>120</v>
      </c>
      <c r="F73" s="3"/>
      <c r="G73" s="24"/>
      <c r="H73" s="24"/>
      <c r="J73" s="1" t="s">
        <v>102</v>
      </c>
      <c r="K73" s="4"/>
      <c r="L73" s="4"/>
      <c r="M73" s="4"/>
      <c r="N73" s="4"/>
      <c r="O73" s="4"/>
      <c r="P73" s="33"/>
      <c r="Q73" s="25">
        <v>0</v>
      </c>
      <c r="R73" s="25">
        <v>0</v>
      </c>
      <c r="S73" s="12">
        <f t="shared" ref="S73" si="36">+Q73*R73</f>
        <v>0</v>
      </c>
      <c r="T73" s="5">
        <v>0</v>
      </c>
      <c r="U73" s="12">
        <f t="shared" ref="U73" si="37">S73*(1-T73)</f>
        <v>0</v>
      </c>
      <c r="V73" s="25" t="s">
        <v>10</v>
      </c>
      <c r="W73" s="11">
        <f>IFERROR(VLOOKUP(V73,Curr!$B$2:$C$13,2,FALSE),0)</f>
        <v>10.8</v>
      </c>
      <c r="X73" s="12">
        <f t="shared" ref="X73" si="38">U73*W73</f>
        <v>0</v>
      </c>
      <c r="Y73" s="26">
        <f t="shared" si="35"/>
        <v>0</v>
      </c>
      <c r="Z73" s="12">
        <f t="shared" ref="Z73:Z83" si="39">+Y73*R73</f>
        <v>0</v>
      </c>
      <c r="AA73" s="4" t="s">
        <v>10</v>
      </c>
      <c r="AB73" s="11">
        <f>IFERROR(VLOOKUP(AA73,Curr!$B$2:$C$13,2,FALSE),0)</f>
        <v>10.8</v>
      </c>
      <c r="AC73" s="12">
        <f t="shared" ref="AC73:AC83" si="40">+Y73*AB73*R73</f>
        <v>0</v>
      </c>
      <c r="AD73" s="12">
        <f t="shared" ref="AD73:AD83" si="41">+AC73-X73</f>
        <v>0</v>
      </c>
      <c r="AE73" s="13">
        <f t="shared" ref="AE73:AE83" si="42">IFERROR(AD73/AC73,0)</f>
        <v>0</v>
      </c>
    </row>
    <row r="74" spans="2:31" x14ac:dyDescent="0.25">
      <c r="B74" s="4"/>
      <c r="E74" s="3"/>
      <c r="F74" s="3"/>
      <c r="G74" s="24"/>
      <c r="H74" s="24"/>
      <c r="K74" s="4"/>
      <c r="L74" s="4"/>
      <c r="M74" s="4"/>
      <c r="N74" s="4"/>
      <c r="O74" s="4"/>
      <c r="P74" s="27"/>
      <c r="Q74" s="25"/>
      <c r="R74" s="25"/>
      <c r="S74" s="12">
        <f t="shared" ref="S74:S83" si="43">+Q74*R74</f>
        <v>0</v>
      </c>
      <c r="T74" s="5">
        <v>0</v>
      </c>
      <c r="U74" s="12">
        <f t="shared" ref="U74:U83" si="44">S74*(1-T74)</f>
        <v>0</v>
      </c>
      <c r="V74" s="25" t="s">
        <v>10</v>
      </c>
      <c r="W74" s="11">
        <f>IFERROR(VLOOKUP(V74,Curr!$B$2:$C$13,2,FALSE),0)</f>
        <v>10.8</v>
      </c>
      <c r="X74" s="12">
        <f t="shared" ref="X74:X83" si="45">U74*W74</f>
        <v>0</v>
      </c>
      <c r="Y74" s="26">
        <f t="shared" ref="Y74:Y83" si="46">Q74</f>
        <v>0</v>
      </c>
      <c r="Z74" s="12">
        <f t="shared" si="39"/>
        <v>0</v>
      </c>
      <c r="AA74" s="4" t="s">
        <v>10</v>
      </c>
      <c r="AB74" s="11">
        <f>IFERROR(VLOOKUP(AA74,Curr!$B$2:$C$13,2,FALSE),0)</f>
        <v>10.8</v>
      </c>
      <c r="AC74" s="12">
        <f t="shared" si="40"/>
        <v>0</v>
      </c>
      <c r="AD74" s="12">
        <f t="shared" si="41"/>
        <v>0</v>
      </c>
      <c r="AE74" s="13">
        <f t="shared" si="42"/>
        <v>0</v>
      </c>
    </row>
    <row r="75" spans="2:31" x14ac:dyDescent="0.25">
      <c r="B75" s="4"/>
      <c r="C75" s="1" t="s">
        <v>121</v>
      </c>
      <c r="D75" s="1" t="s">
        <v>49</v>
      </c>
      <c r="E75" s="3" t="s">
        <v>78</v>
      </c>
      <c r="F75" s="3"/>
      <c r="G75" s="24"/>
      <c r="H75" s="24"/>
      <c r="J75" s="1" t="s">
        <v>175</v>
      </c>
      <c r="K75" s="4"/>
      <c r="L75" s="4"/>
      <c r="M75" s="4"/>
      <c r="N75" s="4"/>
      <c r="O75" s="4"/>
      <c r="P75" s="27"/>
      <c r="Q75" s="25">
        <v>0</v>
      </c>
      <c r="R75" s="25">
        <v>0</v>
      </c>
      <c r="S75" s="12">
        <f t="shared" si="43"/>
        <v>0</v>
      </c>
      <c r="T75" s="5">
        <v>0</v>
      </c>
      <c r="U75" s="12">
        <f t="shared" si="44"/>
        <v>0</v>
      </c>
      <c r="V75" s="25" t="s">
        <v>10</v>
      </c>
      <c r="W75" s="11">
        <f>IFERROR(VLOOKUP(V75,Curr!$B$2:$C$13,2,FALSE),0)</f>
        <v>10.8</v>
      </c>
      <c r="X75" s="12">
        <f t="shared" si="45"/>
        <v>0</v>
      </c>
      <c r="Y75" s="26">
        <f t="shared" si="46"/>
        <v>0</v>
      </c>
      <c r="Z75" s="12">
        <f t="shared" si="39"/>
        <v>0</v>
      </c>
      <c r="AA75" s="4" t="s">
        <v>10</v>
      </c>
      <c r="AB75" s="11">
        <f>IFERROR(VLOOKUP(AA75,Curr!$B$2:$C$13,2,FALSE),0)</f>
        <v>10.8</v>
      </c>
      <c r="AC75" s="12">
        <f t="shared" si="40"/>
        <v>0</v>
      </c>
      <c r="AD75" s="12">
        <f t="shared" si="41"/>
        <v>0</v>
      </c>
      <c r="AE75" s="13">
        <f t="shared" si="42"/>
        <v>0</v>
      </c>
    </row>
    <row r="76" spans="2:31" x14ac:dyDescent="0.25">
      <c r="B76" s="4"/>
      <c r="C76" s="1" t="s">
        <v>121</v>
      </c>
      <c r="D76" s="1" t="s">
        <v>67</v>
      </c>
      <c r="E76" s="3" t="s">
        <v>78</v>
      </c>
      <c r="F76" s="3"/>
      <c r="G76" s="24"/>
      <c r="H76" s="24"/>
      <c r="J76" s="1" t="s">
        <v>122</v>
      </c>
      <c r="K76" s="4"/>
      <c r="L76" s="4"/>
      <c r="M76" s="4"/>
      <c r="N76" s="4"/>
      <c r="O76" s="4"/>
      <c r="P76" s="27"/>
      <c r="Q76" s="25">
        <v>0</v>
      </c>
      <c r="R76" s="25">
        <v>0</v>
      </c>
      <c r="S76" s="12">
        <f t="shared" si="43"/>
        <v>0</v>
      </c>
      <c r="T76" s="5">
        <v>0</v>
      </c>
      <c r="U76" s="12">
        <f t="shared" si="44"/>
        <v>0</v>
      </c>
      <c r="V76" s="25" t="s">
        <v>10</v>
      </c>
      <c r="W76" s="11">
        <f>IFERROR(VLOOKUP(V76,Curr!$B$2:$C$13,2,FALSE),0)</f>
        <v>10.8</v>
      </c>
      <c r="X76" s="12">
        <f t="shared" si="45"/>
        <v>0</v>
      </c>
      <c r="Y76" s="26">
        <f t="shared" si="46"/>
        <v>0</v>
      </c>
      <c r="Z76" s="12">
        <f t="shared" si="39"/>
        <v>0</v>
      </c>
      <c r="AA76" s="4" t="s">
        <v>10</v>
      </c>
      <c r="AB76" s="11">
        <f>IFERROR(VLOOKUP(AA76,Curr!$B$2:$C$13,2,FALSE),0)</f>
        <v>10.8</v>
      </c>
      <c r="AC76" s="12">
        <f t="shared" si="40"/>
        <v>0</v>
      </c>
      <c r="AD76" s="12">
        <f t="shared" si="41"/>
        <v>0</v>
      </c>
      <c r="AE76" s="13">
        <f t="shared" si="42"/>
        <v>0</v>
      </c>
    </row>
    <row r="77" spans="2:31" x14ac:dyDescent="0.25">
      <c r="B77" s="4"/>
      <c r="E77" s="3"/>
      <c r="F77" s="3"/>
      <c r="G77" s="24"/>
      <c r="H77" s="24"/>
      <c r="K77" s="4"/>
      <c r="L77" s="4"/>
      <c r="M77" s="4"/>
      <c r="N77" s="4"/>
      <c r="O77" s="4"/>
      <c r="P77" s="27"/>
      <c r="Q77" s="25">
        <v>0</v>
      </c>
      <c r="R77" s="25">
        <v>0</v>
      </c>
      <c r="S77" s="12">
        <f t="shared" si="43"/>
        <v>0</v>
      </c>
      <c r="T77" s="5">
        <v>0</v>
      </c>
      <c r="U77" s="12">
        <f t="shared" si="44"/>
        <v>0</v>
      </c>
      <c r="V77" s="25" t="s">
        <v>10</v>
      </c>
      <c r="W77" s="11">
        <f>IFERROR(VLOOKUP(V77,Curr!$B$2:$C$13,2,FALSE),0)</f>
        <v>10.8</v>
      </c>
      <c r="X77" s="12">
        <f t="shared" si="45"/>
        <v>0</v>
      </c>
      <c r="Y77" s="26">
        <f t="shared" si="46"/>
        <v>0</v>
      </c>
      <c r="Z77" s="12">
        <f t="shared" si="39"/>
        <v>0</v>
      </c>
      <c r="AA77" s="4" t="s">
        <v>10</v>
      </c>
      <c r="AB77" s="11">
        <f>IFERROR(VLOOKUP(AA77,Curr!$B$2:$C$13,2,FALSE),0)</f>
        <v>10.8</v>
      </c>
      <c r="AC77" s="12">
        <f t="shared" si="40"/>
        <v>0</v>
      </c>
      <c r="AD77" s="12">
        <f t="shared" si="41"/>
        <v>0</v>
      </c>
      <c r="AE77" s="13">
        <f t="shared" si="42"/>
        <v>0</v>
      </c>
    </row>
    <row r="78" spans="2:31" x14ac:dyDescent="0.25">
      <c r="B78" s="4"/>
      <c r="E78" s="3"/>
      <c r="F78" s="3"/>
      <c r="G78" s="24"/>
      <c r="H78" s="24"/>
      <c r="K78" s="4"/>
      <c r="L78" s="4"/>
      <c r="M78" s="4"/>
      <c r="N78" s="4"/>
      <c r="O78" s="4"/>
      <c r="P78" s="27"/>
      <c r="Q78" s="25">
        <v>0</v>
      </c>
      <c r="R78" s="25">
        <v>0</v>
      </c>
      <c r="S78" s="12">
        <f t="shared" si="43"/>
        <v>0</v>
      </c>
      <c r="T78" s="5">
        <v>0</v>
      </c>
      <c r="U78" s="12">
        <f t="shared" si="44"/>
        <v>0</v>
      </c>
      <c r="V78" s="25" t="s">
        <v>10</v>
      </c>
      <c r="W78" s="11">
        <f>IFERROR(VLOOKUP(V78,Curr!$B$2:$C$13,2,FALSE),0)</f>
        <v>10.8</v>
      </c>
      <c r="X78" s="12">
        <f t="shared" si="45"/>
        <v>0</v>
      </c>
      <c r="Y78" s="26">
        <f t="shared" si="46"/>
        <v>0</v>
      </c>
      <c r="Z78" s="12">
        <f t="shared" si="39"/>
        <v>0</v>
      </c>
      <c r="AA78" s="4" t="s">
        <v>10</v>
      </c>
      <c r="AB78" s="11">
        <f>IFERROR(VLOOKUP(AA78,Curr!$B$2:$C$13,2,FALSE),0)</f>
        <v>10.8</v>
      </c>
      <c r="AC78" s="12">
        <f t="shared" si="40"/>
        <v>0</v>
      </c>
      <c r="AD78" s="12">
        <f t="shared" si="41"/>
        <v>0</v>
      </c>
      <c r="AE78" s="13">
        <f t="shared" si="42"/>
        <v>0</v>
      </c>
    </row>
    <row r="79" spans="2:31" x14ac:dyDescent="0.25">
      <c r="B79" s="4"/>
      <c r="E79" s="3"/>
      <c r="F79" s="3"/>
      <c r="G79" s="24"/>
      <c r="H79" s="24"/>
      <c r="K79" s="4"/>
      <c r="L79" s="4"/>
      <c r="M79" s="4"/>
      <c r="N79" s="4"/>
      <c r="O79" s="4"/>
      <c r="P79" s="27"/>
      <c r="Q79" s="25">
        <v>0</v>
      </c>
      <c r="R79" s="25">
        <v>0</v>
      </c>
      <c r="S79" s="12">
        <f t="shared" si="43"/>
        <v>0</v>
      </c>
      <c r="T79" s="5">
        <v>0</v>
      </c>
      <c r="U79" s="12">
        <f t="shared" si="44"/>
        <v>0</v>
      </c>
      <c r="V79" s="25" t="s">
        <v>10</v>
      </c>
      <c r="W79" s="11">
        <f>IFERROR(VLOOKUP(V79,Curr!$B$2:$C$13,2,FALSE),0)</f>
        <v>10.8</v>
      </c>
      <c r="X79" s="12">
        <f t="shared" si="45"/>
        <v>0</v>
      </c>
      <c r="Y79" s="26">
        <f t="shared" si="46"/>
        <v>0</v>
      </c>
      <c r="Z79" s="12">
        <f t="shared" si="39"/>
        <v>0</v>
      </c>
      <c r="AA79" s="4" t="s">
        <v>10</v>
      </c>
      <c r="AB79" s="11">
        <f>IFERROR(VLOOKUP(AA79,Curr!$B$2:$C$13,2,FALSE),0)</f>
        <v>10.8</v>
      </c>
      <c r="AC79" s="12">
        <f t="shared" si="40"/>
        <v>0</v>
      </c>
      <c r="AD79" s="12">
        <f t="shared" si="41"/>
        <v>0</v>
      </c>
      <c r="AE79" s="13">
        <f t="shared" si="42"/>
        <v>0</v>
      </c>
    </row>
    <row r="80" spans="2:31" x14ac:dyDescent="0.25">
      <c r="B80" s="4"/>
      <c r="E80" s="3"/>
      <c r="F80" s="3"/>
      <c r="G80" s="24"/>
      <c r="H80" s="24"/>
      <c r="K80" s="4"/>
      <c r="L80" s="4"/>
      <c r="M80" s="4"/>
      <c r="N80" s="4"/>
      <c r="O80" s="4"/>
      <c r="P80" s="27"/>
      <c r="Q80" s="25">
        <v>0</v>
      </c>
      <c r="R80" s="25">
        <v>0</v>
      </c>
      <c r="S80" s="12">
        <f t="shared" si="43"/>
        <v>0</v>
      </c>
      <c r="T80" s="5">
        <v>0</v>
      </c>
      <c r="U80" s="12">
        <f t="shared" si="44"/>
        <v>0</v>
      </c>
      <c r="V80" s="25" t="s">
        <v>10</v>
      </c>
      <c r="W80" s="11">
        <f>IFERROR(VLOOKUP(V80,Curr!$B$2:$C$13,2,FALSE),0)</f>
        <v>10.8</v>
      </c>
      <c r="X80" s="12">
        <f t="shared" si="45"/>
        <v>0</v>
      </c>
      <c r="Y80" s="26">
        <f t="shared" si="46"/>
        <v>0</v>
      </c>
      <c r="Z80" s="12">
        <f t="shared" si="39"/>
        <v>0</v>
      </c>
      <c r="AA80" s="4" t="s">
        <v>10</v>
      </c>
      <c r="AB80" s="11">
        <f>IFERROR(VLOOKUP(AA80,Curr!$B$2:$C$13,2,FALSE),0)</f>
        <v>10.8</v>
      </c>
      <c r="AC80" s="12">
        <f t="shared" si="40"/>
        <v>0</v>
      </c>
      <c r="AD80" s="12">
        <f t="shared" si="41"/>
        <v>0</v>
      </c>
      <c r="AE80" s="13">
        <f t="shared" si="42"/>
        <v>0</v>
      </c>
    </row>
    <row r="81" spans="2:36" x14ac:dyDescent="0.25">
      <c r="B81" s="4"/>
      <c r="E81" s="3"/>
      <c r="F81" s="3"/>
      <c r="G81" s="24"/>
      <c r="H81" s="24"/>
      <c r="K81" s="4"/>
      <c r="L81" s="4"/>
      <c r="M81" s="4"/>
      <c r="N81" s="4"/>
      <c r="O81" s="4"/>
      <c r="P81" s="33"/>
      <c r="Q81" s="25">
        <v>0</v>
      </c>
      <c r="R81" s="25">
        <v>0</v>
      </c>
      <c r="S81" s="12">
        <f t="shared" si="43"/>
        <v>0</v>
      </c>
      <c r="T81" s="5">
        <v>0</v>
      </c>
      <c r="U81" s="12">
        <f t="shared" si="44"/>
        <v>0</v>
      </c>
      <c r="V81" s="25" t="s">
        <v>10</v>
      </c>
      <c r="W81" s="11">
        <f>IFERROR(VLOOKUP(V81,Curr!$B$2:$C$13,2,FALSE),0)</f>
        <v>10.8</v>
      </c>
      <c r="X81" s="12">
        <f t="shared" si="45"/>
        <v>0</v>
      </c>
      <c r="Y81" s="26">
        <f t="shared" si="46"/>
        <v>0</v>
      </c>
      <c r="Z81" s="12">
        <f t="shared" si="39"/>
        <v>0</v>
      </c>
      <c r="AA81" s="4" t="s">
        <v>10</v>
      </c>
      <c r="AB81" s="11">
        <f>IFERROR(VLOOKUP(AA81,Curr!$B$2:$C$13,2,FALSE),0)</f>
        <v>10.8</v>
      </c>
      <c r="AC81" s="12">
        <f t="shared" si="40"/>
        <v>0</v>
      </c>
      <c r="AD81" s="12">
        <f t="shared" si="41"/>
        <v>0</v>
      </c>
      <c r="AE81" s="13">
        <f t="shared" si="42"/>
        <v>0</v>
      </c>
    </row>
    <row r="82" spans="2:36" x14ac:dyDescent="0.25">
      <c r="B82" s="4"/>
      <c r="E82" s="3"/>
      <c r="F82" s="3"/>
      <c r="G82" s="24"/>
      <c r="H82" s="24"/>
      <c r="K82" s="4"/>
      <c r="L82" s="4"/>
      <c r="M82" s="4"/>
      <c r="N82" s="4"/>
      <c r="O82" s="4"/>
      <c r="P82" s="27"/>
      <c r="Q82" s="25">
        <v>0</v>
      </c>
      <c r="R82" s="25">
        <v>0</v>
      </c>
      <c r="S82" s="12">
        <f t="shared" si="43"/>
        <v>0</v>
      </c>
      <c r="T82" s="5">
        <v>0</v>
      </c>
      <c r="U82" s="12">
        <f t="shared" si="44"/>
        <v>0</v>
      </c>
      <c r="V82" s="25" t="s">
        <v>10</v>
      </c>
      <c r="W82" s="11">
        <f>IFERROR(VLOOKUP(V82,Curr!$B$2:$C$13,2,FALSE),0)</f>
        <v>10.8</v>
      </c>
      <c r="X82" s="12">
        <f t="shared" si="45"/>
        <v>0</v>
      </c>
      <c r="Y82" s="26">
        <f t="shared" si="46"/>
        <v>0</v>
      </c>
      <c r="Z82" s="12">
        <f t="shared" si="39"/>
        <v>0</v>
      </c>
      <c r="AA82" s="4" t="s">
        <v>10</v>
      </c>
      <c r="AB82" s="11">
        <f>IFERROR(VLOOKUP(AA82,Curr!$B$2:$C$13,2,FALSE),0)</f>
        <v>10.8</v>
      </c>
      <c r="AC82" s="12">
        <f t="shared" si="40"/>
        <v>0</v>
      </c>
      <c r="AD82" s="12">
        <f t="shared" si="41"/>
        <v>0</v>
      </c>
      <c r="AE82" s="13">
        <f t="shared" si="42"/>
        <v>0</v>
      </c>
    </row>
    <row r="83" spans="2:36" x14ac:dyDescent="0.25">
      <c r="B83" s="4"/>
      <c r="E83" s="3"/>
      <c r="F83" s="3"/>
      <c r="G83" s="24"/>
      <c r="H83" s="24"/>
      <c r="K83" s="4"/>
      <c r="L83" s="4"/>
      <c r="M83" s="4"/>
      <c r="N83" s="4"/>
      <c r="O83" s="4"/>
      <c r="P83" s="33"/>
      <c r="Q83" s="25">
        <v>0</v>
      </c>
      <c r="R83" s="25">
        <v>0</v>
      </c>
      <c r="S83" s="12">
        <f t="shared" si="43"/>
        <v>0</v>
      </c>
      <c r="T83" s="5">
        <v>0</v>
      </c>
      <c r="U83" s="12">
        <f t="shared" si="44"/>
        <v>0</v>
      </c>
      <c r="V83" s="25" t="s">
        <v>10</v>
      </c>
      <c r="W83" s="11">
        <f>IFERROR(VLOOKUP(V83,Curr!$B$2:$C$13,2,FALSE),0)</f>
        <v>10.8</v>
      </c>
      <c r="X83" s="12">
        <f t="shared" si="45"/>
        <v>0</v>
      </c>
      <c r="Y83" s="26">
        <f t="shared" si="46"/>
        <v>0</v>
      </c>
      <c r="Z83" s="12">
        <f t="shared" si="39"/>
        <v>0</v>
      </c>
      <c r="AA83" s="4" t="s">
        <v>10</v>
      </c>
      <c r="AB83" s="11">
        <f>IFERROR(VLOOKUP(AA83,Curr!$B$2:$C$13,2,FALSE),0)</f>
        <v>10.8</v>
      </c>
      <c r="AC83" s="12">
        <f t="shared" si="40"/>
        <v>0</v>
      </c>
      <c r="AD83" s="12">
        <f t="shared" si="41"/>
        <v>0</v>
      </c>
      <c r="AE83" s="13">
        <f t="shared" si="42"/>
        <v>0</v>
      </c>
    </row>
    <row r="84" spans="2:36" x14ac:dyDescent="0.25">
      <c r="B84" s="4"/>
      <c r="E84" s="3"/>
      <c r="F84" s="3"/>
      <c r="G84" s="3"/>
      <c r="H84" s="3"/>
      <c r="L84" s="4"/>
      <c r="M84" s="4"/>
      <c r="N84" s="4"/>
      <c r="O84" s="4"/>
      <c r="P84" s="22"/>
      <c r="Q84" s="4"/>
      <c r="R84" s="4"/>
      <c r="S84" s="4"/>
      <c r="T84" s="4"/>
      <c r="U84" s="4"/>
      <c r="V84" s="4"/>
      <c r="W84" s="4"/>
      <c r="X84" s="4"/>
      <c r="Y84" s="4"/>
      <c r="Z84" s="4"/>
      <c r="AA84" s="4"/>
      <c r="AB84" s="4"/>
      <c r="AC84" s="4"/>
      <c r="AD84" s="4"/>
      <c r="AE84" s="4"/>
      <c r="AF84" s="4"/>
    </row>
    <row r="85" spans="2:36" x14ac:dyDescent="0.25">
      <c r="B85" s="14" t="s">
        <v>18</v>
      </c>
      <c r="C85" s="14"/>
      <c r="D85" s="28" t="s">
        <v>42</v>
      </c>
      <c r="E85" s="30" t="s">
        <v>42</v>
      </c>
      <c r="F85" s="30" t="s">
        <v>42</v>
      </c>
      <c r="G85" s="30" t="s">
        <v>42</v>
      </c>
      <c r="H85" s="30" t="s">
        <v>42</v>
      </c>
      <c r="I85" s="28" t="s">
        <v>42</v>
      </c>
      <c r="J85" s="28" t="s">
        <v>42</v>
      </c>
      <c r="K85" s="28" t="s">
        <v>42</v>
      </c>
      <c r="L85" s="28" t="s">
        <v>42</v>
      </c>
      <c r="M85" s="28" t="s">
        <v>42</v>
      </c>
      <c r="N85" s="28" t="s">
        <v>42</v>
      </c>
      <c r="O85" s="28" t="s">
        <v>42</v>
      </c>
      <c r="P85" s="28" t="s">
        <v>42</v>
      </c>
      <c r="Q85" s="31" t="s">
        <v>42</v>
      </c>
      <c r="R85" s="28" t="s">
        <v>42</v>
      </c>
      <c r="S85" s="32" t="s">
        <v>42</v>
      </c>
      <c r="T85" s="28" t="s">
        <v>42</v>
      </c>
      <c r="U85" s="32" t="s">
        <v>42</v>
      </c>
      <c r="V85" s="28" t="s">
        <v>42</v>
      </c>
      <c r="W85" s="28" t="s">
        <v>42</v>
      </c>
      <c r="X85" s="32" t="s">
        <v>42</v>
      </c>
      <c r="Y85" s="32" t="s">
        <v>42</v>
      </c>
      <c r="Z85" s="15">
        <f>SUM(Z7:Z83)</f>
        <v>26205.413250148547</v>
      </c>
      <c r="AA85" s="14"/>
      <c r="AB85" s="14"/>
      <c r="AC85" s="15">
        <f>SUM(AC7:AC83)</f>
        <v>283018.4631016042</v>
      </c>
      <c r="AD85" s="15">
        <f>SUM(AD7:AD83)</f>
        <v>48635.703101604297</v>
      </c>
      <c r="AE85" s="21">
        <f t="shared" ref="AE85" si="47">IFERROR(AD85/AC85,0)</f>
        <v>0.1718463967636768</v>
      </c>
      <c r="AF85" s="15">
        <f>SUM(AF8:AF84)</f>
        <v>0</v>
      </c>
      <c r="AG85" s="15">
        <f>SUM(AG8:AG84)</f>
        <v>0</v>
      </c>
      <c r="AH85" s="15">
        <f>SUM(AH8:AH84)</f>
        <v>0</v>
      </c>
      <c r="AI85" s="15">
        <f>SUM(AI8:AI84)</f>
        <v>0</v>
      </c>
      <c r="AJ85" s="15">
        <f>SUM(AJ8:AJ84)</f>
        <v>0</v>
      </c>
    </row>
    <row r="86" spans="2:36" x14ac:dyDescent="0.25">
      <c r="B86" s="4"/>
      <c r="E86" s="3"/>
      <c r="F86" s="3"/>
      <c r="G86" s="3"/>
      <c r="H86" s="3"/>
      <c r="L86" s="4"/>
      <c r="M86" s="4"/>
      <c r="N86" s="4"/>
      <c r="O86" s="4"/>
      <c r="Q86" s="4"/>
      <c r="R86" s="4"/>
      <c r="S86" s="4"/>
      <c r="T86" s="4"/>
      <c r="U86" s="4"/>
      <c r="V86" s="4"/>
      <c r="W86" s="4"/>
      <c r="X86" s="4"/>
      <c r="Y86" s="9"/>
      <c r="Z86" s="9"/>
      <c r="AA86" s="9"/>
      <c r="AB86" s="9"/>
      <c r="AC86" s="9"/>
      <c r="AD86" s="9"/>
      <c r="AE86" s="9"/>
    </row>
    <row r="87" spans="2:36" x14ac:dyDescent="0.25">
      <c r="B87" s="4"/>
      <c r="E87" s="3"/>
      <c r="F87" s="3"/>
      <c r="G87" s="3"/>
      <c r="H87" s="3"/>
      <c r="L87" s="4"/>
      <c r="M87" s="4"/>
      <c r="N87" s="4"/>
      <c r="O87" s="4"/>
      <c r="Q87" s="9"/>
      <c r="R87" s="9"/>
      <c r="S87" s="9"/>
      <c r="T87" s="9"/>
      <c r="U87" s="9"/>
      <c r="V87" s="9"/>
      <c r="W87" s="9"/>
      <c r="X87" s="23"/>
      <c r="Y87" s="34" t="s">
        <v>43</v>
      </c>
      <c r="Z87" s="34">
        <v>26200</v>
      </c>
      <c r="AA87" s="9"/>
      <c r="AB87" s="9"/>
      <c r="AC87" s="9"/>
      <c r="AD87" s="9"/>
      <c r="AE87" s="9"/>
    </row>
    <row r="88" spans="2:36" x14ac:dyDescent="0.25">
      <c r="B88" s="4"/>
      <c r="E88" s="3"/>
      <c r="F88" s="3"/>
      <c r="G88" s="3"/>
      <c r="H88" s="3"/>
      <c r="L88" s="4"/>
      <c r="M88" s="4"/>
      <c r="N88" s="4"/>
      <c r="O88" s="4"/>
      <c r="Q88" s="9"/>
      <c r="R88" s="9"/>
      <c r="S88" s="9"/>
      <c r="T88" s="9"/>
      <c r="U88" s="9"/>
      <c r="V88" s="9"/>
      <c r="W88" s="9"/>
      <c r="X88" s="9"/>
      <c r="Y88" s="34" t="s">
        <v>44</v>
      </c>
      <c r="Z88" s="34">
        <f>Z87/4</f>
        <v>6550</v>
      </c>
      <c r="AA88" s="9"/>
      <c r="AB88" s="9"/>
      <c r="AC88" s="9"/>
      <c r="AD88" s="9"/>
      <c r="AE88" s="9"/>
      <c r="AF88" s="18"/>
    </row>
    <row r="89" spans="2:36" x14ac:dyDescent="0.25">
      <c r="B89" s="4"/>
      <c r="E89" s="3"/>
      <c r="F89" s="3"/>
      <c r="G89" s="3"/>
      <c r="H89" s="3"/>
      <c r="I89" s="19"/>
      <c r="J89" s="35"/>
      <c r="L89" s="4"/>
      <c r="M89" s="4"/>
      <c r="N89" s="4"/>
      <c r="O89" s="20"/>
      <c r="Q89" s="20"/>
      <c r="R89" s="20"/>
      <c r="S89" s="20"/>
      <c r="T89" s="20"/>
      <c r="U89" s="20"/>
      <c r="V89" s="20"/>
      <c r="W89" s="20"/>
      <c r="X89" s="20"/>
      <c r="Y89" s="9"/>
      <c r="Z89" s="9"/>
      <c r="AA89" s="9"/>
      <c r="AB89" s="9"/>
      <c r="AC89" s="9"/>
      <c r="AD89" s="9"/>
      <c r="AE89" s="9"/>
      <c r="AF89" s="18"/>
    </row>
    <row r="90" spans="2:36" x14ac:dyDescent="0.25">
      <c r="B90" s="4"/>
      <c r="E90" s="3"/>
      <c r="F90" s="3"/>
      <c r="G90" s="3"/>
      <c r="H90" s="3"/>
      <c r="L90" s="4"/>
      <c r="M90" s="4"/>
      <c r="N90" s="4"/>
      <c r="O90" s="20"/>
      <c r="Q90" s="20"/>
      <c r="R90" s="20"/>
      <c r="S90" s="20"/>
      <c r="T90" s="20"/>
      <c r="U90" s="20"/>
      <c r="V90" s="20"/>
      <c r="W90" s="20"/>
      <c r="X90" s="20"/>
      <c r="Y90" s="34" t="s">
        <v>31</v>
      </c>
      <c r="Z90" s="34">
        <v>30800</v>
      </c>
      <c r="AA90" s="9"/>
      <c r="AB90" s="9"/>
      <c r="AC90" s="9"/>
      <c r="AD90" s="9"/>
      <c r="AE90" s="9"/>
      <c r="AF90" s="18"/>
    </row>
    <row r="91" spans="2:36" x14ac:dyDescent="0.25">
      <c r="B91" s="4"/>
      <c r="E91" s="3"/>
      <c r="F91" s="3"/>
      <c r="G91" s="3"/>
      <c r="H91" s="3"/>
      <c r="L91" s="4"/>
      <c r="M91" s="4"/>
      <c r="N91" s="4"/>
      <c r="O91" s="4"/>
      <c r="Q91" s="9"/>
      <c r="R91" s="9"/>
      <c r="S91" s="9"/>
      <c r="T91" s="9"/>
      <c r="U91" s="9"/>
      <c r="V91" s="9"/>
      <c r="W91" s="9"/>
      <c r="X91" s="9"/>
      <c r="Y91" s="34" t="s">
        <v>44</v>
      </c>
      <c r="Z91" s="34">
        <f>Z90/4</f>
        <v>7700</v>
      </c>
      <c r="AA91" s="9"/>
      <c r="AB91" s="9"/>
      <c r="AC91" s="9"/>
      <c r="AD91" s="9"/>
      <c r="AE91" s="9"/>
      <c r="AF91" s="18"/>
    </row>
    <row r="92" spans="2:36" x14ac:dyDescent="0.25">
      <c r="F92" s="1"/>
      <c r="G92" s="1"/>
      <c r="H92" s="1"/>
      <c r="J92" s="1" t="s">
        <v>32</v>
      </c>
      <c r="Q92" s="9"/>
      <c r="R92" s="4"/>
      <c r="S92" s="9"/>
      <c r="T92" s="5"/>
      <c r="U92" s="9"/>
      <c r="V92" s="4"/>
      <c r="W92" s="4"/>
      <c r="X92" s="9"/>
      <c r="Y92" s="9"/>
      <c r="Z92" s="9"/>
      <c r="AA92" s="9"/>
      <c r="AB92" s="9"/>
      <c r="AC92" s="9"/>
      <c r="AD92" s="9"/>
      <c r="AE92" s="9"/>
    </row>
    <row r="93" spans="2:36" x14ac:dyDescent="0.25">
      <c r="R93" s="4"/>
      <c r="S93" s="17"/>
      <c r="T93" s="17"/>
      <c r="U93" s="9"/>
      <c r="V93" s="4"/>
      <c r="W93" s="4"/>
      <c r="X93" s="9"/>
      <c r="Y93" s="9" t="s">
        <v>208</v>
      </c>
      <c r="Z93" s="9">
        <v>9840</v>
      </c>
      <c r="AA93" s="9"/>
      <c r="AB93" s="9"/>
      <c r="AC93" s="9"/>
      <c r="AD93" s="9"/>
      <c r="AE93" s="9"/>
    </row>
    <row r="94" spans="2:36" x14ac:dyDescent="0.25">
      <c r="Q94" s="9"/>
      <c r="R94" s="4"/>
      <c r="S94" s="16"/>
      <c r="T94" s="16"/>
      <c r="U94" s="9"/>
      <c r="V94" s="4"/>
      <c r="W94" s="4"/>
      <c r="X94" s="9"/>
      <c r="Y94" s="9" t="s">
        <v>31</v>
      </c>
      <c r="Z94" s="9">
        <v>11600</v>
      </c>
      <c r="AA94" s="9"/>
      <c r="AB94" s="9"/>
      <c r="AC94" s="9"/>
      <c r="AD94" s="9"/>
      <c r="AE94" s="9"/>
    </row>
    <row r="95" spans="2:36" x14ac:dyDescent="0.25">
      <c r="R95" s="4"/>
      <c r="S95" s="16"/>
      <c r="T95" s="16"/>
      <c r="Y95" s="9" t="s">
        <v>44</v>
      </c>
      <c r="Z95" s="9">
        <f>Z94/4</f>
        <v>2900</v>
      </c>
      <c r="AA95" s="9"/>
      <c r="AB95" s="9"/>
      <c r="AC95" s="9"/>
      <c r="AD95" s="9"/>
      <c r="AE95" s="9"/>
    </row>
    <row r="96" spans="2:36" x14ac:dyDescent="0.25">
      <c r="T96" s="5"/>
      <c r="Y96" s="9"/>
      <c r="Z96" s="9"/>
      <c r="AA96" s="9"/>
      <c r="AB96" s="9"/>
      <c r="AC96" s="9"/>
      <c r="AD96" s="9"/>
      <c r="AE96" s="9"/>
    </row>
    <row r="97" spans="20:31" x14ac:dyDescent="0.25">
      <c r="T97" s="5"/>
      <c r="Y97" s="9"/>
      <c r="Z97" s="9"/>
      <c r="AA97" s="9"/>
      <c r="AB97" s="9"/>
      <c r="AC97" s="9"/>
      <c r="AD97" s="9"/>
      <c r="AE97" s="9"/>
    </row>
    <row r="98" spans="20:31" x14ac:dyDescent="0.25">
      <c r="T98" s="5"/>
      <c r="Y98" s="9"/>
      <c r="Z98" s="9"/>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c r="Y103" s="9"/>
      <c r="Z103" s="9"/>
      <c r="AA103" s="9"/>
      <c r="AB103" s="9"/>
      <c r="AC103" s="9"/>
      <c r="AD103" s="9"/>
      <c r="AE103" s="9"/>
    </row>
    <row r="104" spans="20:31" x14ac:dyDescent="0.25">
      <c r="T104" s="5"/>
    </row>
    <row r="105" spans="20:31" x14ac:dyDescent="0.25">
      <c r="T105" s="5"/>
    </row>
    <row r="106" spans="20:31" x14ac:dyDescent="0.25">
      <c r="T106" s="5"/>
    </row>
    <row r="107" spans="20:31" x14ac:dyDescent="0.25">
      <c r="T107" s="5"/>
    </row>
    <row r="108" spans="20:31" x14ac:dyDescent="0.25">
      <c r="T108" s="5"/>
    </row>
  </sheetData>
  <autoFilter ref="B6:AE85" xr:uid="{65FA6D9B-E0AF-46CD-BA0D-86BB75FE6AB0}"/>
  <hyperlinks>
    <hyperlink ref="P15" r:id="rId1" xr:uid="{0390ABE3-056E-4F5A-9A52-6A978DB4668F}"/>
    <hyperlink ref="P20" r:id="rId2" xr:uid="{12742FDD-6602-47B2-B154-DE309E4D68C4}"/>
    <hyperlink ref="P18" r:id="rId3" xr:uid="{ECE8A375-AC1E-436D-87C5-5AD5E9FE6631}"/>
    <hyperlink ref="P29" r:id="rId4" xr:uid="{DD2BAEDC-A825-4781-941E-E765B60B212C}"/>
    <hyperlink ref="P31" r:id="rId5" xr:uid="{7014071E-1B43-41D1-A6C4-3DEE5AAE6447}"/>
    <hyperlink ref="P33" r:id="rId6" xr:uid="{DD9E149E-46A4-4EB5-8E57-9A0AE4FE944F}"/>
    <hyperlink ref="P23" r:id="rId7" xr:uid="{EF097D7F-4604-49A7-B4E0-097FC7806A8B}"/>
    <hyperlink ref="P37" r:id="rId8" display="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xr:uid="{A4389280-8078-435E-B306-383453F6A9E1}"/>
    <hyperlink ref="P9" r:id="rId9" xr:uid="{0D95C9AD-901D-471A-ACF5-4BD12D8870F2}"/>
    <hyperlink ref="P27" r:id="rId10" xr:uid="{98DBA120-A0D3-4C71-8441-11F56B15CF0F}"/>
    <hyperlink ref="P42" r:id="rId11" xr:uid="{2C548182-FB44-419C-A822-2FB6385B6BE1}"/>
    <hyperlink ref="P46" r:id="rId12" xr:uid="{3F1D0563-D375-41D2-AAE2-BFDF3D8ADBF6}"/>
    <hyperlink ref="P39" r:id="rId13" xr:uid="{1BF63A25-88CD-4DDB-8D36-D39A1918BABC}"/>
    <hyperlink ref="P47" r:id="rId14" xr:uid="{9B578895-261D-468C-B4BF-38BFD4CAAB0D}"/>
    <hyperlink ref="P53" r:id="rId15" xr:uid="{858A8481-33A9-4130-99D8-63C188AE0FD7}"/>
    <hyperlink ref="P51" r:id="rId16" xr:uid="{FED22463-9608-4C07-9C12-EE32692EC37A}"/>
    <hyperlink ref="P55" r:id="rId17" xr:uid="{96FEA396-1849-4523-935B-17E51A5275B6}"/>
    <hyperlink ref="P56" r:id="rId18" location="/select-flight" xr:uid="{593D5C77-07AF-4DAE-9A92-34E46DAE1953}"/>
    <hyperlink ref="P48" r:id="rId19" xr:uid="{C211E4E1-F256-4E94-B105-1DC2D115FDAD}"/>
    <hyperlink ref="P72" r:id="rId20" xr:uid="{F947D0EA-B2DA-4E71-BCBF-B4974A0D2337}"/>
    <hyperlink ref="P59" r:id="rId21" xr:uid="{FA3E137E-A762-4F84-94CE-874D0986869A}"/>
    <hyperlink ref="P70" r:id="rId22" xr:uid="{EBA096ED-73C4-44D9-BA9A-464DEE81B3E8}"/>
    <hyperlink ref="P62" r:id="rId23" xr:uid="{EBA30838-7D7D-4E7A-AC64-7760B010F146}"/>
  </hyperlinks>
  <pageMargins left="0.7" right="0.7" top="0.75" bottom="0.75" header="0.3" footer="0.3"/>
  <pageSetup paperSize="9" orientation="portrait" r:id="rId2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7C8C-99FD-4FDC-A797-406B909104D8}">
  <sheetPr>
    <tabColor rgb="FFFFFF00"/>
  </sheetPr>
  <dimension ref="B2:AK108"/>
  <sheetViews>
    <sheetView topLeftCell="A12" zoomScale="80" zoomScaleNormal="80" workbookViewId="0">
      <selection activeCell="J13" sqref="J13"/>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212</v>
      </c>
    </row>
    <row r="3" spans="2:36" x14ac:dyDescent="0.25">
      <c r="B3" s="2" t="s">
        <v>45</v>
      </c>
    </row>
    <row r="4" spans="2:36" x14ac:dyDescent="0.25">
      <c r="B4" s="2" t="s">
        <v>46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47</v>
      </c>
      <c r="D7" s="1" t="s">
        <v>48</v>
      </c>
      <c r="E7" s="3" t="s">
        <v>77</v>
      </c>
      <c r="F7" s="3"/>
      <c r="G7" s="3"/>
      <c r="H7" s="3"/>
      <c r="J7" s="1" t="s">
        <v>52</v>
      </c>
      <c r="K7" s="4"/>
      <c r="L7" s="4"/>
      <c r="M7" s="4"/>
      <c r="N7" s="4"/>
      <c r="O7" s="4"/>
      <c r="P7" s="27"/>
      <c r="Q7" s="25">
        <v>0</v>
      </c>
      <c r="R7" s="25">
        <v>0</v>
      </c>
      <c r="S7" s="12">
        <f t="shared" ref="S7:S10" si="0">+Q7*R7</f>
        <v>0</v>
      </c>
      <c r="T7" s="5">
        <v>0</v>
      </c>
      <c r="U7" s="12">
        <f t="shared" ref="U7:U10" si="1">S7*(1-T7)</f>
        <v>0</v>
      </c>
      <c r="V7" s="25" t="s">
        <v>10</v>
      </c>
      <c r="W7" s="11">
        <f>IFERROR(VLOOKUP(V7,Curr!$B$2:$C$13,2,FALSE),0)</f>
        <v>10.8</v>
      </c>
      <c r="X7" s="12">
        <f t="shared" ref="X7:X10" si="2">U7*W7</f>
        <v>0</v>
      </c>
      <c r="Y7" s="26">
        <f t="shared" ref="Y7:Y8" si="3">Q7</f>
        <v>0</v>
      </c>
      <c r="Z7" s="12">
        <f t="shared" ref="Z7:Z70" si="4">+Y7*R7</f>
        <v>0</v>
      </c>
      <c r="AA7" s="4" t="s">
        <v>10</v>
      </c>
      <c r="AB7" s="11">
        <f>IFERROR(VLOOKUP(AA7,Curr!$B$2:$C$13,2,FALSE),0)</f>
        <v>10.8</v>
      </c>
      <c r="AC7" s="12">
        <f t="shared" ref="AC7:AC70" si="5">+Y7*AB7*R7</f>
        <v>0</v>
      </c>
      <c r="AD7" s="12">
        <f t="shared" ref="AD7:AD70" si="6">+AC7-X7</f>
        <v>0</v>
      </c>
      <c r="AE7" s="13">
        <f t="shared" ref="AE7:AE70" si="7">IFERROR(AD7/AC7,0)</f>
        <v>0</v>
      </c>
    </row>
    <row r="8" spans="2:36" x14ac:dyDescent="0.25">
      <c r="B8" s="4"/>
      <c r="C8" s="1" t="s">
        <v>47</v>
      </c>
      <c r="D8" s="1" t="s">
        <v>180</v>
      </c>
      <c r="E8" s="3" t="s">
        <v>77</v>
      </c>
      <c r="F8" s="3"/>
      <c r="G8" s="24"/>
      <c r="H8" s="24"/>
      <c r="J8" s="1" t="s">
        <v>181</v>
      </c>
      <c r="K8" s="4"/>
      <c r="L8" s="4"/>
      <c r="M8" s="4"/>
      <c r="N8" s="4"/>
      <c r="O8" s="4"/>
      <c r="P8" s="33"/>
      <c r="Q8" s="25">
        <v>160</v>
      </c>
      <c r="R8" s="25">
        <v>1</v>
      </c>
      <c r="S8" s="12">
        <f t="shared" si="0"/>
        <v>160</v>
      </c>
      <c r="T8" s="5">
        <v>0.2</v>
      </c>
      <c r="U8" s="12">
        <f t="shared" si="1"/>
        <v>128</v>
      </c>
      <c r="V8" s="25" t="s">
        <v>10</v>
      </c>
      <c r="W8" s="11">
        <f>IFERROR(VLOOKUP(V8,Curr!$B$2:$C$13,2,FALSE),0)</f>
        <v>10.8</v>
      </c>
      <c r="X8" s="12">
        <f t="shared" si="2"/>
        <v>1382.4</v>
      </c>
      <c r="Y8" s="26">
        <f t="shared" si="3"/>
        <v>160</v>
      </c>
      <c r="Z8" s="12">
        <f t="shared" ref="Z8:Z36" si="8">+Y8*R8</f>
        <v>160</v>
      </c>
      <c r="AA8" s="4" t="s">
        <v>10</v>
      </c>
      <c r="AB8" s="11">
        <f>IFERROR(VLOOKUP(AA8,Curr!$B$2:$C$13,2,FALSE),0)</f>
        <v>10.8</v>
      </c>
      <c r="AC8" s="12">
        <f t="shared" ref="AC8:AC36" si="9">+Y8*AB8*R8</f>
        <v>1728</v>
      </c>
      <c r="AD8" s="12">
        <f t="shared" ref="AD8:AD36" si="10">+AC8-X8</f>
        <v>345.59999999999991</v>
      </c>
      <c r="AE8" s="13">
        <f t="shared" ref="AE8:AE36" si="11">IFERROR(AD8/AC8,0)</f>
        <v>0.19999999999999996</v>
      </c>
    </row>
    <row r="9" spans="2:36" x14ac:dyDescent="0.25">
      <c r="B9" s="4"/>
      <c r="C9" s="1" t="s">
        <v>47</v>
      </c>
      <c r="D9" s="1" t="s">
        <v>50</v>
      </c>
      <c r="E9" s="3" t="s">
        <v>77</v>
      </c>
      <c r="F9" s="3" t="s">
        <v>82</v>
      </c>
      <c r="G9" s="24"/>
      <c r="H9" s="24"/>
      <c r="J9" s="1" t="s">
        <v>216</v>
      </c>
      <c r="K9" s="4"/>
      <c r="L9" s="4"/>
      <c r="M9" s="4"/>
      <c r="N9" s="4"/>
      <c r="O9" s="4"/>
      <c r="P9" s="33" t="s">
        <v>217</v>
      </c>
      <c r="Q9" s="25">
        <v>2075</v>
      </c>
      <c r="R9" s="25">
        <v>1</v>
      </c>
      <c r="S9" s="12">
        <f t="shared" si="0"/>
        <v>2075</v>
      </c>
      <c r="T9" s="5">
        <v>0</v>
      </c>
      <c r="U9" s="12">
        <f t="shared" si="1"/>
        <v>2075</v>
      </c>
      <c r="V9" s="25" t="s">
        <v>10</v>
      </c>
      <c r="W9" s="11">
        <f>IFERROR(VLOOKUP(V9,Curr!$B$2:$C$13,2,FALSE),0)</f>
        <v>10.8</v>
      </c>
      <c r="X9" s="12">
        <f t="shared" si="2"/>
        <v>22410</v>
      </c>
      <c r="Y9" s="26">
        <f>Q9/0.8</f>
        <v>2593.75</v>
      </c>
      <c r="Z9" s="12">
        <f t="shared" si="8"/>
        <v>2593.75</v>
      </c>
      <c r="AA9" s="4" t="s">
        <v>10</v>
      </c>
      <c r="AB9" s="11">
        <f>IFERROR(VLOOKUP(AA9,Curr!$B$2:$C$13,2,FALSE),0)</f>
        <v>10.8</v>
      </c>
      <c r="AC9" s="12">
        <f t="shared" si="9"/>
        <v>28012.500000000004</v>
      </c>
      <c r="AD9" s="12">
        <f t="shared" si="10"/>
        <v>5602.5000000000036</v>
      </c>
      <c r="AE9" s="13">
        <f t="shared" si="11"/>
        <v>0.20000000000000009</v>
      </c>
    </row>
    <row r="10" spans="2:36" x14ac:dyDescent="0.25">
      <c r="B10" s="4"/>
      <c r="C10" s="1" t="s">
        <v>47</v>
      </c>
      <c r="D10" s="1" t="s">
        <v>51</v>
      </c>
      <c r="E10" s="3" t="s">
        <v>77</v>
      </c>
      <c r="F10" s="3"/>
      <c r="G10" s="24"/>
      <c r="H10" s="24"/>
      <c r="J10" s="1" t="s">
        <v>53</v>
      </c>
      <c r="K10" s="4"/>
      <c r="L10" s="4"/>
      <c r="M10" s="4"/>
      <c r="N10" s="4"/>
      <c r="O10" s="4"/>
      <c r="P10" s="33"/>
      <c r="Q10" s="25">
        <v>0</v>
      </c>
      <c r="R10" s="25">
        <v>0</v>
      </c>
      <c r="S10" s="12">
        <f t="shared" si="0"/>
        <v>0</v>
      </c>
      <c r="T10" s="5">
        <v>0</v>
      </c>
      <c r="U10" s="12">
        <f t="shared" si="1"/>
        <v>0</v>
      </c>
      <c r="V10" s="25" t="s">
        <v>10</v>
      </c>
      <c r="W10" s="11">
        <f>IFERROR(VLOOKUP(V10,Curr!$B$2:$C$13,2,FALSE),0)</f>
        <v>10.8</v>
      </c>
      <c r="X10" s="12">
        <f t="shared" si="2"/>
        <v>0</v>
      </c>
      <c r="Y10" s="26">
        <f t="shared" ref="Y10" si="12">Q10</f>
        <v>0</v>
      </c>
      <c r="Z10" s="12">
        <f t="shared" si="8"/>
        <v>0</v>
      </c>
      <c r="AA10" s="4" t="s">
        <v>10</v>
      </c>
      <c r="AB10" s="11">
        <f>IFERROR(VLOOKUP(AA10,Curr!$B$2:$C$13,2,FALSE),0)</f>
        <v>10.8</v>
      </c>
      <c r="AC10" s="12">
        <f t="shared" si="9"/>
        <v>0</v>
      </c>
      <c r="AD10" s="12">
        <f t="shared" si="10"/>
        <v>0</v>
      </c>
      <c r="AE10" s="13">
        <f t="shared" si="11"/>
        <v>0</v>
      </c>
    </row>
    <row r="11" spans="2:36" x14ac:dyDescent="0.25">
      <c r="B11" s="4"/>
      <c r="E11" s="3"/>
      <c r="F11" s="3"/>
      <c r="G11" s="24"/>
      <c r="H11" s="24"/>
      <c r="K11" s="4"/>
      <c r="L11" s="4"/>
      <c r="M11" s="4"/>
      <c r="N11" s="4"/>
      <c r="O11" s="4"/>
      <c r="P11" s="33"/>
      <c r="Q11" s="25"/>
      <c r="R11" s="25"/>
      <c r="S11" s="12">
        <f t="shared" ref="S11:S36" si="13">+Q11*R11</f>
        <v>0</v>
      </c>
      <c r="T11" s="5">
        <v>0</v>
      </c>
      <c r="U11" s="12">
        <f t="shared" ref="U11:U36" si="14">S11*(1-T11)</f>
        <v>0</v>
      </c>
      <c r="V11" s="25" t="s">
        <v>10</v>
      </c>
      <c r="W11" s="11">
        <f>IFERROR(VLOOKUP(V11,Curr!$B$2:$C$13,2,FALSE),0)</f>
        <v>10.8</v>
      </c>
      <c r="X11" s="12">
        <f t="shared" ref="X11:X36" si="15">U11*W11</f>
        <v>0</v>
      </c>
      <c r="Y11" s="26">
        <f t="shared" ref="Y11:Y36" si="16">Q11</f>
        <v>0</v>
      </c>
      <c r="Z11" s="12">
        <f t="shared" si="8"/>
        <v>0</v>
      </c>
      <c r="AA11" s="4" t="s">
        <v>10</v>
      </c>
      <c r="AB11" s="11">
        <f>IFERROR(VLOOKUP(AA11,Curr!$B$2:$C$13,2,FALSE),0)</f>
        <v>10.8</v>
      </c>
      <c r="AC11" s="12">
        <f t="shared" si="9"/>
        <v>0</v>
      </c>
      <c r="AD11" s="12">
        <f t="shared" si="10"/>
        <v>0</v>
      </c>
      <c r="AE11" s="13">
        <f t="shared" si="11"/>
        <v>0</v>
      </c>
    </row>
    <row r="12" spans="2:36" x14ac:dyDescent="0.25">
      <c r="B12" s="4"/>
      <c r="C12" s="1" t="s">
        <v>55</v>
      </c>
      <c r="D12" s="1" t="s">
        <v>56</v>
      </c>
      <c r="E12" s="3" t="s">
        <v>79</v>
      </c>
      <c r="F12" s="3"/>
      <c r="G12" s="24"/>
      <c r="H12" s="24"/>
      <c r="J12" s="1" t="s">
        <v>149</v>
      </c>
      <c r="K12" s="4"/>
      <c r="L12" s="4"/>
      <c r="M12" s="4"/>
      <c r="N12" s="4"/>
      <c r="O12" s="4"/>
      <c r="P12" s="33" t="s">
        <v>71</v>
      </c>
      <c r="Q12" s="25">
        <v>35</v>
      </c>
      <c r="R12" s="25">
        <v>4</v>
      </c>
      <c r="S12" s="12">
        <f t="shared" si="13"/>
        <v>140</v>
      </c>
      <c r="T12" s="5">
        <v>0.2</v>
      </c>
      <c r="U12" s="12">
        <f t="shared" si="14"/>
        <v>112</v>
      </c>
      <c r="V12" s="25" t="s">
        <v>10</v>
      </c>
      <c r="W12" s="11">
        <f>IFERROR(VLOOKUP(V12,Curr!$B$2:$C$13,2,FALSE),0)</f>
        <v>10.8</v>
      </c>
      <c r="X12" s="12">
        <f t="shared" si="15"/>
        <v>1209.6000000000001</v>
      </c>
      <c r="Y12" s="26">
        <f>Q12/0.8</f>
        <v>43.75</v>
      </c>
      <c r="Z12" s="12">
        <f t="shared" si="8"/>
        <v>175</v>
      </c>
      <c r="AA12" s="4" t="s">
        <v>10</v>
      </c>
      <c r="AB12" s="11">
        <f>IFERROR(VLOOKUP(AA12,Curr!$B$2:$C$13,2,FALSE),0)</f>
        <v>10.8</v>
      </c>
      <c r="AC12" s="12">
        <f t="shared" si="9"/>
        <v>1890.0000000000002</v>
      </c>
      <c r="AD12" s="12">
        <f t="shared" si="10"/>
        <v>680.40000000000009</v>
      </c>
      <c r="AE12" s="13">
        <f t="shared" si="11"/>
        <v>0.36</v>
      </c>
    </row>
    <row r="13" spans="2:36" x14ac:dyDescent="0.25">
      <c r="B13" s="4"/>
      <c r="C13" s="1" t="s">
        <v>55</v>
      </c>
      <c r="D13" s="1" t="s">
        <v>51</v>
      </c>
      <c r="E13" s="3" t="s">
        <v>79</v>
      </c>
      <c r="F13" s="3"/>
      <c r="G13" s="24"/>
      <c r="H13" s="24"/>
      <c r="J13" s="1" t="s">
        <v>53</v>
      </c>
      <c r="K13" s="4"/>
      <c r="L13" s="4"/>
      <c r="M13" s="4"/>
      <c r="N13" s="4"/>
      <c r="O13" s="4"/>
      <c r="P13" s="33"/>
      <c r="Q13" s="25">
        <v>0</v>
      </c>
      <c r="R13" s="25">
        <v>0</v>
      </c>
      <c r="S13" s="12">
        <f t="shared" si="13"/>
        <v>0</v>
      </c>
      <c r="T13" s="5">
        <v>0</v>
      </c>
      <c r="U13" s="12">
        <f t="shared" si="14"/>
        <v>0</v>
      </c>
      <c r="V13" s="25" t="s">
        <v>10</v>
      </c>
      <c r="W13" s="11">
        <f>IFERROR(VLOOKUP(V13,Curr!$B$2:$C$13,2,FALSE),0)</f>
        <v>10.8</v>
      </c>
      <c r="X13" s="12">
        <f t="shared" si="15"/>
        <v>0</v>
      </c>
      <c r="Y13" s="26">
        <f t="shared" si="16"/>
        <v>0</v>
      </c>
      <c r="Z13" s="12">
        <f t="shared" si="8"/>
        <v>0</v>
      </c>
      <c r="AA13" s="4" t="s">
        <v>10</v>
      </c>
      <c r="AB13" s="11">
        <f>IFERROR(VLOOKUP(AA13,Curr!$B$2:$C$13,2,FALSE),0)</f>
        <v>10.8</v>
      </c>
      <c r="AC13" s="12">
        <f t="shared" si="9"/>
        <v>0</v>
      </c>
      <c r="AD13" s="12">
        <f t="shared" si="10"/>
        <v>0</v>
      </c>
      <c r="AE13" s="13">
        <f t="shared" si="11"/>
        <v>0</v>
      </c>
    </row>
    <row r="14" spans="2:36" x14ac:dyDescent="0.25">
      <c r="B14" s="4"/>
      <c r="C14" s="1" t="s">
        <v>55</v>
      </c>
      <c r="D14" s="1" t="s">
        <v>56</v>
      </c>
      <c r="E14" s="3" t="s">
        <v>79</v>
      </c>
      <c r="F14" s="3"/>
      <c r="G14" s="24"/>
      <c r="H14" s="24"/>
      <c r="J14" s="1" t="s">
        <v>150</v>
      </c>
      <c r="K14" s="4"/>
      <c r="L14" s="4"/>
      <c r="M14" s="4"/>
      <c r="N14" s="4"/>
      <c r="O14" s="4"/>
      <c r="P14" s="33" t="s">
        <v>73</v>
      </c>
      <c r="Q14" s="25">
        <v>127</v>
      </c>
      <c r="R14" s="25">
        <v>4</v>
      </c>
      <c r="S14" s="12">
        <f t="shared" si="13"/>
        <v>508</v>
      </c>
      <c r="T14" s="5">
        <v>0.25</v>
      </c>
      <c r="U14" s="12">
        <f t="shared" si="14"/>
        <v>381</v>
      </c>
      <c r="V14" s="25" t="s">
        <v>10</v>
      </c>
      <c r="W14" s="11">
        <f>IFERROR(VLOOKUP(V14,Curr!$B$2:$C$13,2,FALSE),0)</f>
        <v>10.8</v>
      </c>
      <c r="X14" s="12">
        <f t="shared" si="15"/>
        <v>4114.8</v>
      </c>
      <c r="Y14" s="26">
        <f t="shared" si="16"/>
        <v>127</v>
      </c>
      <c r="Z14" s="12">
        <f t="shared" si="8"/>
        <v>508</v>
      </c>
      <c r="AA14" s="4" t="s">
        <v>10</v>
      </c>
      <c r="AB14" s="11">
        <f>IFERROR(VLOOKUP(AA14,Curr!$B$2:$C$13,2,FALSE),0)</f>
        <v>10.8</v>
      </c>
      <c r="AC14" s="12">
        <f t="shared" si="9"/>
        <v>5486.4000000000005</v>
      </c>
      <c r="AD14" s="12">
        <f t="shared" si="10"/>
        <v>1371.6000000000004</v>
      </c>
      <c r="AE14" s="13">
        <f t="shared" si="11"/>
        <v>0.25000000000000006</v>
      </c>
    </row>
    <row r="15" spans="2:36" x14ac:dyDescent="0.25">
      <c r="B15" s="4"/>
      <c r="E15" s="3"/>
      <c r="F15" s="3"/>
      <c r="G15" s="24"/>
      <c r="H15" s="24"/>
      <c r="K15" s="4"/>
      <c r="L15" s="4"/>
      <c r="M15" s="4"/>
      <c r="N15" s="4"/>
      <c r="O15" s="4"/>
      <c r="P15" s="33"/>
      <c r="Q15" s="25"/>
      <c r="R15" s="25"/>
      <c r="S15" s="12">
        <f t="shared" si="13"/>
        <v>0</v>
      </c>
      <c r="T15" s="5">
        <v>0</v>
      </c>
      <c r="U15" s="12">
        <f t="shared" si="14"/>
        <v>0</v>
      </c>
      <c r="V15" s="25" t="s">
        <v>10</v>
      </c>
      <c r="W15" s="11">
        <f>IFERROR(VLOOKUP(V15,Curr!$B$2:$C$13,2,FALSE),0)</f>
        <v>10.8</v>
      </c>
      <c r="X15" s="12">
        <f t="shared" si="15"/>
        <v>0</v>
      </c>
      <c r="Y15" s="26">
        <f t="shared" si="16"/>
        <v>0</v>
      </c>
      <c r="Z15" s="12">
        <f t="shared" si="8"/>
        <v>0</v>
      </c>
      <c r="AA15" s="4" t="s">
        <v>10</v>
      </c>
      <c r="AB15" s="11">
        <f>IFERROR(VLOOKUP(AA15,Curr!$B$2:$C$13,2,FALSE),0)</f>
        <v>10.8</v>
      </c>
      <c r="AC15" s="12">
        <f t="shared" si="9"/>
        <v>0</v>
      </c>
      <c r="AD15" s="12">
        <f t="shared" si="10"/>
        <v>0</v>
      </c>
      <c r="AE15" s="13">
        <f t="shared" si="11"/>
        <v>0</v>
      </c>
    </row>
    <row r="16" spans="2:36" x14ac:dyDescent="0.25">
      <c r="B16" s="4"/>
      <c r="C16" s="1" t="s">
        <v>57</v>
      </c>
      <c r="D16" s="1" t="s">
        <v>49</v>
      </c>
      <c r="E16" s="3" t="s">
        <v>82</v>
      </c>
      <c r="F16" s="3"/>
      <c r="G16" s="24"/>
      <c r="H16" s="24"/>
      <c r="J16" s="1" t="s">
        <v>182</v>
      </c>
      <c r="K16" s="4"/>
      <c r="L16" s="4"/>
      <c r="M16" s="4"/>
      <c r="N16" s="4"/>
      <c r="O16" s="4"/>
      <c r="P16" s="33"/>
      <c r="Q16" s="25">
        <v>0</v>
      </c>
      <c r="R16" s="25">
        <v>0</v>
      </c>
      <c r="S16" s="12">
        <f t="shared" ref="S16:S17" si="17">+Q16*R16</f>
        <v>0</v>
      </c>
      <c r="T16" s="5">
        <v>0</v>
      </c>
      <c r="U16" s="12">
        <f t="shared" ref="U16:U17" si="18">S16*(1-T16)</f>
        <v>0</v>
      </c>
      <c r="V16" s="25" t="s">
        <v>10</v>
      </c>
      <c r="W16" s="11">
        <f>IFERROR(VLOOKUP(V16,Curr!$B$2:$C$13,2,FALSE),0)</f>
        <v>10.8</v>
      </c>
      <c r="X16" s="12">
        <f t="shared" ref="X16:X17" si="19">U16*W16</f>
        <v>0</v>
      </c>
      <c r="Y16" s="26">
        <f t="shared" ref="Y16" si="20">Q16</f>
        <v>0</v>
      </c>
      <c r="Z16" s="12">
        <f t="shared" si="8"/>
        <v>0</v>
      </c>
      <c r="AA16" s="4" t="s">
        <v>10</v>
      </c>
      <c r="AB16" s="11">
        <f>IFERROR(VLOOKUP(AA16,Curr!$B$2:$C$13,2,FALSE),0)</f>
        <v>10.8</v>
      </c>
      <c r="AC16" s="12">
        <f t="shared" si="9"/>
        <v>0</v>
      </c>
      <c r="AD16" s="12">
        <f t="shared" si="10"/>
        <v>0</v>
      </c>
      <c r="AE16" s="13">
        <f t="shared" si="11"/>
        <v>0</v>
      </c>
    </row>
    <row r="17" spans="2:31" x14ac:dyDescent="0.25">
      <c r="B17" s="4"/>
      <c r="C17" s="1" t="s">
        <v>57</v>
      </c>
      <c r="D17" s="1" t="s">
        <v>74</v>
      </c>
      <c r="E17" s="3" t="s">
        <v>82</v>
      </c>
      <c r="F17" s="3" t="s">
        <v>59</v>
      </c>
      <c r="G17" s="24"/>
      <c r="H17" s="24"/>
      <c r="J17" s="1" t="s">
        <v>194</v>
      </c>
      <c r="K17" s="4"/>
      <c r="L17" s="4"/>
      <c r="M17" s="4"/>
      <c r="N17" s="4"/>
      <c r="O17" s="4"/>
      <c r="P17" s="33" t="s">
        <v>221</v>
      </c>
      <c r="Q17" s="25">
        <v>564</v>
      </c>
      <c r="R17" s="25">
        <v>1</v>
      </c>
      <c r="S17" s="12">
        <f t="shared" si="17"/>
        <v>564</v>
      </c>
      <c r="T17" s="5">
        <v>0</v>
      </c>
      <c r="U17" s="12">
        <f t="shared" si="18"/>
        <v>564</v>
      </c>
      <c r="V17" s="25" t="s">
        <v>10</v>
      </c>
      <c r="W17" s="11">
        <f>IFERROR(VLOOKUP(V17,Curr!$B$2:$C$13,2,FALSE),0)</f>
        <v>10.8</v>
      </c>
      <c r="X17" s="12">
        <f t="shared" si="19"/>
        <v>6091.2000000000007</v>
      </c>
      <c r="Y17" s="26">
        <f>Q17/0.8</f>
        <v>705</v>
      </c>
      <c r="Z17" s="12">
        <f t="shared" si="8"/>
        <v>705</v>
      </c>
      <c r="AA17" s="4" t="s">
        <v>10</v>
      </c>
      <c r="AB17" s="11">
        <f>IFERROR(VLOOKUP(AA17,Curr!$B$2:$C$13,2,FALSE),0)</f>
        <v>10.8</v>
      </c>
      <c r="AC17" s="12">
        <f t="shared" si="9"/>
        <v>7614.0000000000009</v>
      </c>
      <c r="AD17" s="12">
        <f t="shared" si="10"/>
        <v>1522.8000000000002</v>
      </c>
      <c r="AE17" s="13">
        <f t="shared" si="11"/>
        <v>0.2</v>
      </c>
    </row>
    <row r="18" spans="2:31" x14ac:dyDescent="0.25">
      <c r="B18" s="4"/>
      <c r="C18" s="1" t="s">
        <v>57</v>
      </c>
      <c r="D18" s="1" t="s">
        <v>75</v>
      </c>
      <c r="E18" s="3" t="s">
        <v>82</v>
      </c>
      <c r="F18" s="3"/>
      <c r="G18" s="24"/>
      <c r="H18" s="24"/>
      <c r="J18" s="1" t="s">
        <v>218</v>
      </c>
      <c r="K18" s="4"/>
      <c r="L18" s="4"/>
      <c r="M18" s="4"/>
      <c r="N18" s="4"/>
      <c r="O18" s="4"/>
      <c r="P18" s="33"/>
      <c r="Q18" s="25">
        <v>0</v>
      </c>
      <c r="R18" s="25">
        <v>0</v>
      </c>
      <c r="S18" s="12">
        <f t="shared" si="13"/>
        <v>0</v>
      </c>
      <c r="T18" s="5">
        <v>0</v>
      </c>
      <c r="U18" s="12">
        <f t="shared" si="14"/>
        <v>0</v>
      </c>
      <c r="V18" s="25" t="s">
        <v>10</v>
      </c>
      <c r="W18" s="11">
        <f>IFERROR(VLOOKUP(V18,Curr!$B$2:$C$13,2,FALSE),0)</f>
        <v>10.8</v>
      </c>
      <c r="X18" s="12">
        <f t="shared" si="15"/>
        <v>0</v>
      </c>
      <c r="Y18" s="26">
        <f t="shared" si="16"/>
        <v>0</v>
      </c>
      <c r="Z18" s="12">
        <f t="shared" si="8"/>
        <v>0</v>
      </c>
      <c r="AA18" s="4" t="s">
        <v>10</v>
      </c>
      <c r="AB18" s="11">
        <f>IFERROR(VLOOKUP(AA18,Curr!$B$2:$C$13,2,FALSE),0)</f>
        <v>10.8</v>
      </c>
      <c r="AC18" s="12">
        <f t="shared" si="9"/>
        <v>0</v>
      </c>
      <c r="AD18" s="12">
        <f t="shared" si="10"/>
        <v>0</v>
      </c>
      <c r="AE18" s="13">
        <f t="shared" si="11"/>
        <v>0</v>
      </c>
    </row>
    <row r="19" spans="2:31" x14ac:dyDescent="0.25">
      <c r="B19" s="4"/>
      <c r="C19" s="1" t="s">
        <v>57</v>
      </c>
      <c r="D19" s="1" t="s">
        <v>50</v>
      </c>
      <c r="E19" s="3" t="s">
        <v>82</v>
      </c>
      <c r="F19" s="3" t="s">
        <v>213</v>
      </c>
      <c r="G19" s="24"/>
      <c r="H19" s="24"/>
      <c r="J19" s="1" t="s">
        <v>219</v>
      </c>
      <c r="K19" s="4"/>
      <c r="L19" s="4"/>
      <c r="M19" s="4"/>
      <c r="N19" s="4"/>
      <c r="O19" s="4"/>
      <c r="P19" s="33" t="s">
        <v>220</v>
      </c>
      <c r="Q19" s="25">
        <v>607</v>
      </c>
      <c r="R19" s="25">
        <v>1</v>
      </c>
      <c r="S19" s="12">
        <f t="shared" si="13"/>
        <v>607</v>
      </c>
      <c r="T19" s="5">
        <v>0</v>
      </c>
      <c r="U19" s="12">
        <f t="shared" si="14"/>
        <v>607</v>
      </c>
      <c r="V19" s="25" t="s">
        <v>10</v>
      </c>
      <c r="W19" s="11">
        <f>IFERROR(VLOOKUP(V19,Curr!$B$2:$C$13,2,FALSE),0)</f>
        <v>10.8</v>
      </c>
      <c r="X19" s="12">
        <f t="shared" si="15"/>
        <v>6555.6</v>
      </c>
      <c r="Y19" s="26">
        <f>Q19/0.8</f>
        <v>758.75</v>
      </c>
      <c r="Z19" s="12">
        <f t="shared" si="8"/>
        <v>758.75</v>
      </c>
      <c r="AA19" s="4" t="s">
        <v>10</v>
      </c>
      <c r="AB19" s="11">
        <f>IFERROR(VLOOKUP(AA19,Curr!$B$2:$C$13,2,FALSE),0)</f>
        <v>10.8</v>
      </c>
      <c r="AC19" s="12">
        <f t="shared" si="9"/>
        <v>8194.5</v>
      </c>
      <c r="AD19" s="12">
        <f t="shared" si="10"/>
        <v>1638.8999999999996</v>
      </c>
      <c r="AE19" s="13">
        <f t="shared" si="11"/>
        <v>0.19999999999999996</v>
      </c>
    </row>
    <row r="20" spans="2:31" x14ac:dyDescent="0.25">
      <c r="B20" s="4"/>
      <c r="C20" s="1" t="s">
        <v>57</v>
      </c>
      <c r="D20" s="1" t="s">
        <v>51</v>
      </c>
      <c r="E20" s="3" t="s">
        <v>82</v>
      </c>
      <c r="F20" s="3"/>
      <c r="G20" s="24"/>
      <c r="H20" s="24"/>
      <c r="J20" s="1" t="s">
        <v>185</v>
      </c>
      <c r="K20" s="4"/>
      <c r="L20" s="4"/>
      <c r="M20" s="4"/>
      <c r="N20" s="4"/>
      <c r="O20" s="4"/>
      <c r="P20" s="33"/>
      <c r="Q20" s="25">
        <v>0</v>
      </c>
      <c r="R20" s="25">
        <v>0</v>
      </c>
      <c r="S20" s="12">
        <f t="shared" si="13"/>
        <v>0</v>
      </c>
      <c r="T20" s="5">
        <v>0</v>
      </c>
      <c r="U20" s="12">
        <f t="shared" si="14"/>
        <v>0</v>
      </c>
      <c r="V20" s="25" t="s">
        <v>10</v>
      </c>
      <c r="W20" s="11">
        <f>IFERROR(VLOOKUP(V20,Curr!$B$2:$C$13,2,FALSE),0)</f>
        <v>10.8</v>
      </c>
      <c r="X20" s="12">
        <f t="shared" si="15"/>
        <v>0</v>
      </c>
      <c r="Y20" s="26">
        <f t="shared" si="16"/>
        <v>0</v>
      </c>
      <c r="Z20" s="12">
        <f t="shared" si="8"/>
        <v>0</v>
      </c>
      <c r="AA20" s="4" t="s">
        <v>10</v>
      </c>
      <c r="AB20" s="11">
        <f>IFERROR(VLOOKUP(AA20,Curr!$B$2:$C$13,2,FALSE),0)</f>
        <v>10.8</v>
      </c>
      <c r="AC20" s="12">
        <f t="shared" si="9"/>
        <v>0</v>
      </c>
      <c r="AD20" s="12">
        <f t="shared" si="10"/>
        <v>0</v>
      </c>
      <c r="AE20" s="13">
        <f t="shared" si="11"/>
        <v>0</v>
      </c>
    </row>
    <row r="21" spans="2:31" x14ac:dyDescent="0.25">
      <c r="B21" s="4"/>
      <c r="E21" s="3"/>
      <c r="F21" s="3"/>
      <c r="G21" s="24"/>
      <c r="H21" s="24"/>
      <c r="K21" s="4"/>
      <c r="L21" s="4"/>
      <c r="M21" s="4"/>
      <c r="N21" s="4"/>
      <c r="O21" s="4"/>
      <c r="P21" s="33"/>
      <c r="Q21" s="25"/>
      <c r="R21" s="25"/>
      <c r="S21" s="12">
        <f t="shared" si="13"/>
        <v>0</v>
      </c>
      <c r="T21" s="5">
        <v>0</v>
      </c>
      <c r="U21" s="12">
        <f t="shared" si="14"/>
        <v>0</v>
      </c>
      <c r="V21" s="25" t="s">
        <v>10</v>
      </c>
      <c r="W21" s="11">
        <f>IFERROR(VLOOKUP(V21,Curr!$B$2:$C$13,2,FALSE),0)</f>
        <v>10.8</v>
      </c>
      <c r="X21" s="12">
        <f t="shared" si="15"/>
        <v>0</v>
      </c>
      <c r="Y21" s="26">
        <f>Q21/0.8</f>
        <v>0</v>
      </c>
      <c r="Z21" s="12">
        <f t="shared" si="8"/>
        <v>0</v>
      </c>
      <c r="AA21" s="4" t="s">
        <v>10</v>
      </c>
      <c r="AB21" s="11">
        <f>IFERROR(VLOOKUP(AA21,Curr!$B$2:$C$13,2,FALSE),0)</f>
        <v>10.8</v>
      </c>
      <c r="AC21" s="12">
        <f t="shared" si="9"/>
        <v>0</v>
      </c>
      <c r="AD21" s="12">
        <f t="shared" si="10"/>
        <v>0</v>
      </c>
      <c r="AE21" s="13">
        <f t="shared" si="11"/>
        <v>0</v>
      </c>
    </row>
    <row r="22" spans="2:31" x14ac:dyDescent="0.25">
      <c r="B22" s="4"/>
      <c r="C22" s="1" t="s">
        <v>60</v>
      </c>
      <c r="D22" s="1" t="s">
        <v>75</v>
      </c>
      <c r="E22" s="3" t="s">
        <v>213</v>
      </c>
      <c r="F22" s="3"/>
      <c r="G22" s="24"/>
      <c r="H22" s="24"/>
      <c r="J22" s="1" t="s">
        <v>222</v>
      </c>
      <c r="K22" s="4"/>
      <c r="L22" s="4"/>
      <c r="M22" s="4"/>
      <c r="N22" s="4"/>
      <c r="O22" s="4"/>
      <c r="P22" s="33"/>
      <c r="Q22" s="25">
        <v>0</v>
      </c>
      <c r="R22" s="25">
        <v>0</v>
      </c>
      <c r="S22" s="12">
        <f t="shared" si="13"/>
        <v>0</v>
      </c>
      <c r="T22" s="5">
        <v>0</v>
      </c>
      <c r="U22" s="12">
        <f t="shared" si="14"/>
        <v>0</v>
      </c>
      <c r="V22" s="25" t="s">
        <v>10</v>
      </c>
      <c r="W22" s="11">
        <f>IFERROR(VLOOKUP(V22,Curr!$B$2:$C$13,2,FALSE),0)</f>
        <v>10.8</v>
      </c>
      <c r="X22" s="12">
        <f t="shared" si="15"/>
        <v>0</v>
      </c>
      <c r="Y22" s="26">
        <f t="shared" si="16"/>
        <v>0</v>
      </c>
      <c r="Z22" s="12">
        <f t="shared" si="8"/>
        <v>0</v>
      </c>
      <c r="AA22" s="4" t="s">
        <v>10</v>
      </c>
      <c r="AB22" s="11">
        <f>IFERROR(VLOOKUP(AA22,Curr!$B$2:$C$13,2,FALSE),0)</f>
        <v>10.8</v>
      </c>
      <c r="AC22" s="12">
        <f t="shared" si="9"/>
        <v>0</v>
      </c>
      <c r="AD22" s="12">
        <f t="shared" si="10"/>
        <v>0</v>
      </c>
      <c r="AE22" s="13">
        <f t="shared" si="11"/>
        <v>0</v>
      </c>
    </row>
    <row r="23" spans="2:31" x14ac:dyDescent="0.25">
      <c r="B23" s="4"/>
      <c r="C23" s="1" t="s">
        <v>60</v>
      </c>
      <c r="D23" s="1" t="s">
        <v>50</v>
      </c>
      <c r="E23" s="3" t="s">
        <v>213</v>
      </c>
      <c r="F23" s="3" t="s">
        <v>58</v>
      </c>
      <c r="G23" s="24"/>
      <c r="H23" s="24"/>
      <c r="J23" s="1" t="s">
        <v>138</v>
      </c>
      <c r="K23" s="4"/>
      <c r="L23" s="4"/>
      <c r="M23" s="4"/>
      <c r="N23" s="4"/>
      <c r="O23" s="4"/>
      <c r="P23" s="33" t="s">
        <v>215</v>
      </c>
      <c r="Q23" s="25">
        <v>2976</v>
      </c>
      <c r="R23" s="25">
        <v>1</v>
      </c>
      <c r="S23" s="12">
        <f t="shared" si="13"/>
        <v>2976</v>
      </c>
      <c r="T23" s="5">
        <v>0</v>
      </c>
      <c r="U23" s="12">
        <f t="shared" si="14"/>
        <v>2976</v>
      </c>
      <c r="V23" s="25" t="s">
        <v>10</v>
      </c>
      <c r="W23" s="11">
        <f>IFERROR(VLOOKUP(V23,Curr!$B$2:$C$13,2,FALSE),0)</f>
        <v>10.8</v>
      </c>
      <c r="X23" s="12">
        <f t="shared" si="15"/>
        <v>32140.800000000003</v>
      </c>
      <c r="Y23" s="26">
        <f>Q23/0.85</f>
        <v>3501.1764705882356</v>
      </c>
      <c r="Z23" s="12">
        <f t="shared" si="8"/>
        <v>3501.1764705882356</v>
      </c>
      <c r="AA23" s="4" t="s">
        <v>10</v>
      </c>
      <c r="AB23" s="11">
        <f>IFERROR(VLOOKUP(AA23,Curr!$B$2:$C$13,2,FALSE),0)</f>
        <v>10.8</v>
      </c>
      <c r="AC23" s="12">
        <f t="shared" si="9"/>
        <v>37812.705882352944</v>
      </c>
      <c r="AD23" s="12">
        <f t="shared" si="10"/>
        <v>5671.9058823529413</v>
      </c>
      <c r="AE23" s="13">
        <f t="shared" si="11"/>
        <v>0.15</v>
      </c>
    </row>
    <row r="24" spans="2:31" x14ac:dyDescent="0.25">
      <c r="B24" s="4"/>
      <c r="C24" s="1" t="s">
        <v>60</v>
      </c>
      <c r="D24" s="1" t="s">
        <v>51</v>
      </c>
      <c r="E24" s="3" t="s">
        <v>213</v>
      </c>
      <c r="F24" s="3"/>
      <c r="G24" s="24"/>
      <c r="H24" s="24"/>
      <c r="J24" s="1" t="s">
        <v>87</v>
      </c>
      <c r="K24" s="4"/>
      <c r="L24" s="4"/>
      <c r="M24" s="4"/>
      <c r="N24" s="4"/>
      <c r="O24" s="4"/>
      <c r="P24" s="33"/>
      <c r="Q24" s="25">
        <v>0</v>
      </c>
      <c r="R24" s="25">
        <v>0</v>
      </c>
      <c r="S24" s="12">
        <f t="shared" si="13"/>
        <v>0</v>
      </c>
      <c r="T24" s="5">
        <v>0</v>
      </c>
      <c r="U24" s="12">
        <f t="shared" si="14"/>
        <v>0</v>
      </c>
      <c r="V24" s="25" t="s">
        <v>10</v>
      </c>
      <c r="W24" s="11">
        <f>IFERROR(VLOOKUP(V24,Curr!$B$2:$C$13,2,FALSE),0)</f>
        <v>10.8</v>
      </c>
      <c r="X24" s="12">
        <f t="shared" si="15"/>
        <v>0</v>
      </c>
      <c r="Y24" s="26">
        <f t="shared" si="16"/>
        <v>0</v>
      </c>
      <c r="Z24" s="12">
        <f t="shared" si="8"/>
        <v>0</v>
      </c>
      <c r="AA24" s="4" t="s">
        <v>10</v>
      </c>
      <c r="AB24" s="11">
        <f>IFERROR(VLOOKUP(AA24,Curr!$B$2:$C$13,2,FALSE),0)</f>
        <v>10.8</v>
      </c>
      <c r="AC24" s="12">
        <f t="shared" si="9"/>
        <v>0</v>
      </c>
      <c r="AD24" s="12">
        <f t="shared" si="10"/>
        <v>0</v>
      </c>
      <c r="AE24" s="13">
        <f t="shared" si="11"/>
        <v>0</v>
      </c>
    </row>
    <row r="25" spans="2:31" x14ac:dyDescent="0.25">
      <c r="B25" s="4"/>
      <c r="E25" s="3"/>
      <c r="F25" s="3"/>
      <c r="G25" s="24"/>
      <c r="H25" s="24"/>
      <c r="K25" s="4"/>
      <c r="L25" s="4"/>
      <c r="M25" s="4"/>
      <c r="N25" s="4"/>
      <c r="O25" s="4"/>
      <c r="P25" s="33"/>
      <c r="Q25" s="25"/>
      <c r="R25" s="25"/>
      <c r="S25" s="12">
        <f t="shared" si="13"/>
        <v>0</v>
      </c>
      <c r="T25" s="5">
        <v>0</v>
      </c>
      <c r="U25" s="12">
        <f t="shared" si="14"/>
        <v>0</v>
      </c>
      <c r="V25" s="25" t="s">
        <v>10</v>
      </c>
      <c r="W25" s="11">
        <f>IFERROR(VLOOKUP(V25,Curr!$B$2:$C$13,2,FALSE),0)</f>
        <v>10.8</v>
      </c>
      <c r="X25" s="12">
        <f t="shared" si="15"/>
        <v>0</v>
      </c>
      <c r="Y25" s="26">
        <f t="shared" si="16"/>
        <v>0</v>
      </c>
      <c r="Z25" s="12">
        <f t="shared" si="8"/>
        <v>0</v>
      </c>
      <c r="AA25" s="4" t="s">
        <v>10</v>
      </c>
      <c r="AB25" s="11">
        <f>IFERROR(VLOOKUP(AA25,Curr!$B$2:$C$13,2,FALSE),0)</f>
        <v>10.8</v>
      </c>
      <c r="AC25" s="12">
        <f t="shared" si="9"/>
        <v>0</v>
      </c>
      <c r="AD25" s="12">
        <f t="shared" si="10"/>
        <v>0</v>
      </c>
      <c r="AE25" s="13">
        <f t="shared" si="11"/>
        <v>0</v>
      </c>
    </row>
    <row r="26" spans="2:31" x14ac:dyDescent="0.25">
      <c r="B26" s="4"/>
      <c r="C26" s="1" t="s">
        <v>62</v>
      </c>
      <c r="D26" s="1" t="s">
        <v>56</v>
      </c>
      <c r="E26" s="3" t="s">
        <v>91</v>
      </c>
      <c r="F26" s="3"/>
      <c r="G26" s="24"/>
      <c r="H26" s="24"/>
      <c r="J26" s="1" t="s">
        <v>143</v>
      </c>
      <c r="K26" s="4"/>
      <c r="L26" s="4"/>
      <c r="M26" s="4"/>
      <c r="N26" s="4"/>
      <c r="O26" s="4"/>
      <c r="P26" s="33" t="s">
        <v>72</v>
      </c>
      <c r="Q26" s="25">
        <v>46</v>
      </c>
      <c r="R26" s="25">
        <v>4</v>
      </c>
      <c r="S26" s="12">
        <f t="shared" si="13"/>
        <v>184</v>
      </c>
      <c r="T26" s="5">
        <v>0.2</v>
      </c>
      <c r="U26" s="12">
        <f t="shared" si="14"/>
        <v>147.20000000000002</v>
      </c>
      <c r="V26" s="25" t="s">
        <v>10</v>
      </c>
      <c r="W26" s="11">
        <f>IFERROR(VLOOKUP(V26,Curr!$B$2:$C$13,2,FALSE),0)</f>
        <v>10.8</v>
      </c>
      <c r="X26" s="12">
        <f t="shared" si="15"/>
        <v>1589.7600000000002</v>
      </c>
      <c r="Y26" s="26">
        <f>Q26/0.8</f>
        <v>57.5</v>
      </c>
      <c r="Z26" s="12">
        <f t="shared" si="8"/>
        <v>230</v>
      </c>
      <c r="AA26" s="4" t="s">
        <v>10</v>
      </c>
      <c r="AB26" s="11">
        <f>IFERROR(VLOOKUP(AA26,Curr!$B$2:$C$13,2,FALSE),0)</f>
        <v>10.8</v>
      </c>
      <c r="AC26" s="12">
        <f t="shared" si="9"/>
        <v>2484</v>
      </c>
      <c r="AD26" s="12">
        <f t="shared" si="10"/>
        <v>894.23999999999978</v>
      </c>
      <c r="AE26" s="13">
        <f t="shared" si="11"/>
        <v>0.35999999999999993</v>
      </c>
    </row>
    <row r="27" spans="2:31" x14ac:dyDescent="0.25">
      <c r="B27" s="4"/>
      <c r="C27" s="1" t="s">
        <v>62</v>
      </c>
      <c r="D27" s="1" t="s">
        <v>51</v>
      </c>
      <c r="E27" s="3" t="s">
        <v>91</v>
      </c>
      <c r="F27" s="3"/>
      <c r="G27" s="24"/>
      <c r="H27" s="24"/>
      <c r="J27" s="1" t="s">
        <v>87</v>
      </c>
      <c r="K27" s="4"/>
      <c r="L27" s="4"/>
      <c r="M27" s="4"/>
      <c r="N27" s="4"/>
      <c r="O27" s="4"/>
      <c r="P27" s="33"/>
      <c r="Q27" s="25">
        <v>0</v>
      </c>
      <c r="R27" s="25">
        <v>0</v>
      </c>
      <c r="S27" s="12">
        <f t="shared" si="13"/>
        <v>0</v>
      </c>
      <c r="T27" s="5">
        <v>0</v>
      </c>
      <c r="U27" s="12">
        <f t="shared" si="14"/>
        <v>0</v>
      </c>
      <c r="V27" s="25" t="s">
        <v>10</v>
      </c>
      <c r="W27" s="11">
        <f>IFERROR(VLOOKUP(V27,Curr!$B$2:$C$13,2,FALSE),0)</f>
        <v>10.8</v>
      </c>
      <c r="X27" s="12">
        <f t="shared" si="15"/>
        <v>0</v>
      </c>
      <c r="Y27" s="26">
        <f t="shared" si="16"/>
        <v>0</v>
      </c>
      <c r="Z27" s="12">
        <f t="shared" si="8"/>
        <v>0</v>
      </c>
      <c r="AA27" s="4" t="s">
        <v>10</v>
      </c>
      <c r="AB27" s="11">
        <f>IFERROR(VLOOKUP(AA27,Curr!$B$2:$C$13,2,FALSE),0)</f>
        <v>10.8</v>
      </c>
      <c r="AC27" s="12">
        <f t="shared" si="9"/>
        <v>0</v>
      </c>
      <c r="AD27" s="12">
        <f t="shared" si="10"/>
        <v>0</v>
      </c>
      <c r="AE27" s="13">
        <f t="shared" si="11"/>
        <v>0</v>
      </c>
    </row>
    <row r="28" spans="2:31" x14ac:dyDescent="0.25">
      <c r="B28" s="4"/>
      <c r="C28" s="1" t="s">
        <v>62</v>
      </c>
      <c r="D28" s="1" t="s">
        <v>56</v>
      </c>
      <c r="E28" s="3" t="s">
        <v>91</v>
      </c>
      <c r="F28" s="3"/>
      <c r="G28" s="24"/>
      <c r="H28" s="24"/>
      <c r="J28" s="1" t="s">
        <v>69</v>
      </c>
      <c r="K28" s="4"/>
      <c r="L28" s="4"/>
      <c r="M28" s="4"/>
      <c r="N28" s="4"/>
      <c r="O28" s="4"/>
      <c r="P28" s="33" t="s">
        <v>70</v>
      </c>
      <c r="Q28" s="25">
        <v>204</v>
      </c>
      <c r="R28" s="25">
        <v>4</v>
      </c>
      <c r="S28" s="12">
        <f t="shared" si="13"/>
        <v>816</v>
      </c>
      <c r="T28" s="5">
        <v>0.25</v>
      </c>
      <c r="U28" s="12">
        <f t="shared" si="14"/>
        <v>612</v>
      </c>
      <c r="V28" s="25" t="s">
        <v>10</v>
      </c>
      <c r="W28" s="11">
        <f>IFERROR(VLOOKUP(V28,Curr!$B$2:$C$13,2,FALSE),0)</f>
        <v>10.8</v>
      </c>
      <c r="X28" s="12">
        <f t="shared" si="15"/>
        <v>6609.6</v>
      </c>
      <c r="Y28" s="26">
        <f t="shared" si="16"/>
        <v>204</v>
      </c>
      <c r="Z28" s="12">
        <f t="shared" si="8"/>
        <v>816</v>
      </c>
      <c r="AA28" s="4" t="s">
        <v>10</v>
      </c>
      <c r="AB28" s="11">
        <f>IFERROR(VLOOKUP(AA28,Curr!$B$2:$C$13,2,FALSE),0)</f>
        <v>10.8</v>
      </c>
      <c r="AC28" s="12">
        <f t="shared" si="9"/>
        <v>8812.8000000000011</v>
      </c>
      <c r="AD28" s="12">
        <f t="shared" si="10"/>
        <v>2203.2000000000007</v>
      </c>
      <c r="AE28" s="13">
        <f t="shared" si="11"/>
        <v>0.25000000000000006</v>
      </c>
    </row>
    <row r="29" spans="2:31" x14ac:dyDescent="0.25">
      <c r="B29" s="4"/>
      <c r="E29" s="3"/>
      <c r="F29" s="3"/>
      <c r="G29" s="24"/>
      <c r="H29" s="24"/>
      <c r="K29" s="4"/>
      <c r="L29" s="4"/>
      <c r="M29" s="4"/>
      <c r="N29" s="4"/>
      <c r="O29" s="4"/>
      <c r="P29" s="33"/>
      <c r="Q29" s="25"/>
      <c r="R29" s="25"/>
      <c r="S29" s="12">
        <f t="shared" si="13"/>
        <v>0</v>
      </c>
      <c r="T29" s="5">
        <v>0</v>
      </c>
      <c r="U29" s="12">
        <f t="shared" si="14"/>
        <v>0</v>
      </c>
      <c r="V29" s="25" t="s">
        <v>10</v>
      </c>
      <c r="W29" s="11">
        <f>IFERROR(VLOOKUP(V29,Curr!$B$2:$C$13,2,FALSE),0)</f>
        <v>10.8</v>
      </c>
      <c r="X29" s="12">
        <f t="shared" si="15"/>
        <v>0</v>
      </c>
      <c r="Y29" s="26">
        <f t="shared" si="16"/>
        <v>0</v>
      </c>
      <c r="Z29" s="12">
        <f t="shared" si="8"/>
        <v>0</v>
      </c>
      <c r="AA29" s="4" t="s">
        <v>10</v>
      </c>
      <c r="AB29" s="11">
        <f>IFERROR(VLOOKUP(AA29,Curr!$B$2:$C$13,2,FALSE),0)</f>
        <v>10.8</v>
      </c>
      <c r="AC29" s="12">
        <f t="shared" si="9"/>
        <v>0</v>
      </c>
      <c r="AD29" s="12">
        <f t="shared" si="10"/>
        <v>0</v>
      </c>
      <c r="AE29" s="13">
        <f t="shared" si="11"/>
        <v>0</v>
      </c>
    </row>
    <row r="30" spans="2:31" x14ac:dyDescent="0.25">
      <c r="B30" s="4"/>
      <c r="C30" s="1" t="s">
        <v>65</v>
      </c>
      <c r="D30" s="1" t="s">
        <v>75</v>
      </c>
      <c r="E30" s="3" t="s">
        <v>58</v>
      </c>
      <c r="F30" s="3"/>
      <c r="G30" s="24"/>
      <c r="H30" s="24"/>
      <c r="J30" s="1" t="s">
        <v>223</v>
      </c>
      <c r="K30" s="4"/>
      <c r="L30" s="4"/>
      <c r="M30" s="4"/>
      <c r="N30" s="4"/>
      <c r="O30" s="4"/>
      <c r="P30" s="33"/>
      <c r="Q30" s="25">
        <v>0</v>
      </c>
      <c r="R30" s="25">
        <v>0</v>
      </c>
      <c r="S30" s="12">
        <f t="shared" si="13"/>
        <v>0</v>
      </c>
      <c r="T30" s="5">
        <v>0</v>
      </c>
      <c r="U30" s="12">
        <f t="shared" si="14"/>
        <v>0</v>
      </c>
      <c r="V30" s="25" t="s">
        <v>10</v>
      </c>
      <c r="W30" s="11">
        <f>IFERROR(VLOOKUP(V30,Curr!$B$2:$C$13,2,FALSE),0)</f>
        <v>10.8</v>
      </c>
      <c r="X30" s="12">
        <f t="shared" si="15"/>
        <v>0</v>
      </c>
      <c r="Y30" s="26">
        <f t="shared" si="16"/>
        <v>0</v>
      </c>
      <c r="Z30" s="12">
        <f t="shared" si="8"/>
        <v>0</v>
      </c>
      <c r="AA30" s="4" t="s">
        <v>10</v>
      </c>
      <c r="AB30" s="11">
        <f>IFERROR(VLOOKUP(AA30,Curr!$B$2:$C$13,2,FALSE),0)</f>
        <v>10.8</v>
      </c>
      <c r="AC30" s="12">
        <f t="shared" si="9"/>
        <v>0</v>
      </c>
      <c r="AD30" s="12">
        <f t="shared" si="10"/>
        <v>0</v>
      </c>
      <c r="AE30" s="13">
        <f t="shared" si="11"/>
        <v>0</v>
      </c>
    </row>
    <row r="31" spans="2:31" x14ac:dyDescent="0.25">
      <c r="B31" s="4"/>
      <c r="C31" s="1" t="s">
        <v>65</v>
      </c>
      <c r="D31" s="1" t="s">
        <v>50</v>
      </c>
      <c r="E31" s="3" t="s">
        <v>58</v>
      </c>
      <c r="F31" s="3" t="s">
        <v>59</v>
      </c>
      <c r="G31" s="24"/>
      <c r="H31" s="24"/>
      <c r="J31" s="1" t="s">
        <v>214</v>
      </c>
      <c r="K31" s="4"/>
      <c r="L31" s="4"/>
      <c r="M31" s="4"/>
      <c r="N31" s="4"/>
      <c r="O31" s="4"/>
      <c r="P31" s="33" t="s">
        <v>224</v>
      </c>
      <c r="Q31" s="25">
        <v>1091</v>
      </c>
      <c r="R31" s="25">
        <v>1</v>
      </c>
      <c r="S31" s="12">
        <f t="shared" si="13"/>
        <v>1091</v>
      </c>
      <c r="T31" s="5">
        <v>0</v>
      </c>
      <c r="U31" s="12">
        <f t="shared" si="14"/>
        <v>1091</v>
      </c>
      <c r="V31" s="25" t="s">
        <v>10</v>
      </c>
      <c r="W31" s="11">
        <f>IFERROR(VLOOKUP(V31,Curr!$B$2:$C$13,2,FALSE),0)</f>
        <v>10.8</v>
      </c>
      <c r="X31" s="12">
        <f t="shared" si="15"/>
        <v>11782.800000000001</v>
      </c>
      <c r="Y31" s="26">
        <f>Q31/0.8</f>
        <v>1363.75</v>
      </c>
      <c r="Z31" s="12">
        <f t="shared" si="8"/>
        <v>1363.75</v>
      </c>
      <c r="AA31" s="4" t="s">
        <v>10</v>
      </c>
      <c r="AB31" s="11">
        <f>IFERROR(VLOOKUP(AA31,Curr!$B$2:$C$13,2,FALSE),0)</f>
        <v>10.8</v>
      </c>
      <c r="AC31" s="12">
        <f t="shared" si="9"/>
        <v>14728.500000000002</v>
      </c>
      <c r="AD31" s="12">
        <f t="shared" si="10"/>
        <v>2945.7000000000007</v>
      </c>
      <c r="AE31" s="13">
        <f t="shared" si="11"/>
        <v>0.2</v>
      </c>
    </row>
    <row r="32" spans="2:31" x14ac:dyDescent="0.25">
      <c r="B32" s="4"/>
      <c r="C32" s="1" t="s">
        <v>65</v>
      </c>
      <c r="D32" s="1" t="s">
        <v>51</v>
      </c>
      <c r="E32" s="3" t="s">
        <v>58</v>
      </c>
      <c r="F32" s="3"/>
      <c r="G32" s="24"/>
      <c r="H32" s="24"/>
      <c r="J32" s="1" t="s">
        <v>53</v>
      </c>
      <c r="K32" s="4"/>
      <c r="L32" s="4"/>
      <c r="M32" s="4"/>
      <c r="N32" s="4"/>
      <c r="O32" s="4"/>
      <c r="P32" s="33"/>
      <c r="Q32" s="25">
        <v>0</v>
      </c>
      <c r="R32" s="25">
        <v>0</v>
      </c>
      <c r="S32" s="12">
        <f t="shared" si="13"/>
        <v>0</v>
      </c>
      <c r="T32" s="5">
        <v>0</v>
      </c>
      <c r="U32" s="12">
        <f t="shared" si="14"/>
        <v>0</v>
      </c>
      <c r="V32" s="25" t="s">
        <v>10</v>
      </c>
      <c r="W32" s="11">
        <f>IFERROR(VLOOKUP(V32,Curr!$B$2:$C$13,2,FALSE),0)</f>
        <v>10.8</v>
      </c>
      <c r="X32" s="12">
        <f t="shared" si="15"/>
        <v>0</v>
      </c>
      <c r="Y32" s="26">
        <f t="shared" ref="Y32:Y33" si="21">Q32</f>
        <v>0</v>
      </c>
      <c r="Z32" s="12">
        <f t="shared" si="8"/>
        <v>0</v>
      </c>
      <c r="AA32" s="4" t="s">
        <v>10</v>
      </c>
      <c r="AB32" s="11">
        <f>IFERROR(VLOOKUP(AA32,Curr!$B$2:$C$13,2,FALSE),0)</f>
        <v>10.8</v>
      </c>
      <c r="AC32" s="12">
        <f t="shared" si="9"/>
        <v>0</v>
      </c>
      <c r="AD32" s="12">
        <f t="shared" si="10"/>
        <v>0</v>
      </c>
      <c r="AE32" s="13">
        <f t="shared" si="11"/>
        <v>0</v>
      </c>
    </row>
    <row r="33" spans="2:31" x14ac:dyDescent="0.25">
      <c r="B33" s="4"/>
      <c r="C33" s="1" t="s">
        <v>65</v>
      </c>
      <c r="D33" s="1" t="s">
        <v>56</v>
      </c>
      <c r="E33" s="3" t="s">
        <v>58</v>
      </c>
      <c r="F33" s="3"/>
      <c r="G33" s="24"/>
      <c r="H33" s="24"/>
      <c r="J33" s="1" t="s">
        <v>188</v>
      </c>
      <c r="K33" s="4"/>
      <c r="L33" s="4"/>
      <c r="M33" s="4"/>
      <c r="N33" s="4"/>
      <c r="O33" s="4"/>
      <c r="P33" s="33" t="s">
        <v>148</v>
      </c>
      <c r="Q33" s="25">
        <v>167</v>
      </c>
      <c r="R33" s="25">
        <v>4</v>
      </c>
      <c r="S33" s="12">
        <f t="shared" ref="S33" si="22">+Q33*R33</f>
        <v>668</v>
      </c>
      <c r="T33" s="5">
        <v>0.2</v>
      </c>
      <c r="U33" s="12">
        <f t="shared" ref="U33" si="23">S33*(1-T33)</f>
        <v>534.4</v>
      </c>
      <c r="V33" s="25" t="s">
        <v>10</v>
      </c>
      <c r="W33" s="11">
        <f>IFERROR(VLOOKUP(V33,Curr!$B$2:$C$13,2,FALSE),0)</f>
        <v>10.8</v>
      </c>
      <c r="X33" s="12">
        <f t="shared" ref="X33" si="24">U33*W33</f>
        <v>5771.52</v>
      </c>
      <c r="Y33" s="26">
        <f t="shared" si="21"/>
        <v>167</v>
      </c>
      <c r="Z33" s="12">
        <f t="shared" si="8"/>
        <v>668</v>
      </c>
      <c r="AA33" s="4" t="s">
        <v>10</v>
      </c>
      <c r="AB33" s="11">
        <f>IFERROR(VLOOKUP(AA33,Curr!$B$2:$C$13,2,FALSE),0)</f>
        <v>10.8</v>
      </c>
      <c r="AC33" s="12">
        <f t="shared" si="9"/>
        <v>7214.4000000000005</v>
      </c>
      <c r="AD33" s="12">
        <f t="shared" si="10"/>
        <v>1442.88</v>
      </c>
      <c r="AE33" s="13">
        <f t="shared" si="11"/>
        <v>0.2</v>
      </c>
    </row>
    <row r="34" spans="2:31" x14ac:dyDescent="0.25">
      <c r="B34" s="4"/>
      <c r="E34" s="3"/>
      <c r="F34" s="3"/>
      <c r="G34" s="24"/>
      <c r="H34" s="24"/>
      <c r="K34" s="4"/>
      <c r="L34" s="4"/>
      <c r="M34" s="4"/>
      <c r="N34" s="4"/>
      <c r="O34" s="4"/>
      <c r="P34" s="33"/>
      <c r="Q34" s="25"/>
      <c r="R34" s="25"/>
      <c r="S34" s="12">
        <f t="shared" si="13"/>
        <v>0</v>
      </c>
      <c r="T34" s="5">
        <v>0</v>
      </c>
      <c r="U34" s="12">
        <f t="shared" si="14"/>
        <v>0</v>
      </c>
      <c r="V34" s="25" t="s">
        <v>10</v>
      </c>
      <c r="W34" s="11">
        <f>IFERROR(VLOOKUP(V34,Curr!$B$2:$C$13,2,FALSE),0)</f>
        <v>10.8</v>
      </c>
      <c r="X34" s="12">
        <f t="shared" si="15"/>
        <v>0</v>
      </c>
      <c r="Y34" s="26">
        <f t="shared" si="16"/>
        <v>0</v>
      </c>
      <c r="Z34" s="12">
        <f t="shared" si="8"/>
        <v>0</v>
      </c>
      <c r="AA34" s="4" t="s">
        <v>10</v>
      </c>
      <c r="AB34" s="11">
        <f>IFERROR(VLOOKUP(AA34,Curr!$B$2:$C$13,2,FALSE),0)</f>
        <v>10.8</v>
      </c>
      <c r="AC34" s="12">
        <f t="shared" si="9"/>
        <v>0</v>
      </c>
      <c r="AD34" s="12">
        <f t="shared" si="10"/>
        <v>0</v>
      </c>
      <c r="AE34" s="13">
        <f t="shared" si="11"/>
        <v>0</v>
      </c>
    </row>
    <row r="35" spans="2:31" x14ac:dyDescent="0.25">
      <c r="B35" s="4"/>
      <c r="C35" s="1" t="s">
        <v>66</v>
      </c>
      <c r="D35" s="1" t="s">
        <v>75</v>
      </c>
      <c r="E35" s="3" t="s">
        <v>59</v>
      </c>
      <c r="F35" s="3"/>
      <c r="G35" s="24"/>
      <c r="H35" s="24"/>
      <c r="J35" s="1" t="s">
        <v>96</v>
      </c>
      <c r="K35" s="4"/>
      <c r="L35" s="4"/>
      <c r="M35" s="4"/>
      <c r="N35" s="4"/>
      <c r="O35" s="4"/>
      <c r="P35" s="33"/>
      <c r="Q35" s="25">
        <v>0</v>
      </c>
      <c r="R35" s="25">
        <v>0</v>
      </c>
      <c r="S35" s="12">
        <f t="shared" si="13"/>
        <v>0</v>
      </c>
      <c r="T35" s="5">
        <v>0</v>
      </c>
      <c r="U35" s="12">
        <f t="shared" si="14"/>
        <v>0</v>
      </c>
      <c r="V35" s="25" t="s">
        <v>10</v>
      </c>
      <c r="W35" s="11">
        <f>IFERROR(VLOOKUP(V35,Curr!$B$2:$C$13,2,FALSE),0)</f>
        <v>10.8</v>
      </c>
      <c r="X35" s="12">
        <f t="shared" si="15"/>
        <v>0</v>
      </c>
      <c r="Y35" s="26">
        <f t="shared" si="16"/>
        <v>0</v>
      </c>
      <c r="Z35" s="12">
        <f t="shared" si="8"/>
        <v>0</v>
      </c>
      <c r="AA35" s="4" t="s">
        <v>10</v>
      </c>
      <c r="AB35" s="11">
        <f>IFERROR(VLOOKUP(AA35,Curr!$B$2:$C$13,2,FALSE),0)</f>
        <v>10.8</v>
      </c>
      <c r="AC35" s="12">
        <f t="shared" si="9"/>
        <v>0</v>
      </c>
      <c r="AD35" s="12">
        <f t="shared" si="10"/>
        <v>0</v>
      </c>
      <c r="AE35" s="13">
        <f t="shared" si="11"/>
        <v>0</v>
      </c>
    </row>
    <row r="36" spans="2:31" x14ac:dyDescent="0.25">
      <c r="B36" s="4"/>
      <c r="C36" s="1" t="s">
        <v>66</v>
      </c>
      <c r="D36" s="1" t="s">
        <v>74</v>
      </c>
      <c r="E36" s="3" t="s">
        <v>59</v>
      </c>
      <c r="F36" s="3"/>
      <c r="G36" s="24"/>
      <c r="H36" s="24"/>
      <c r="J36" s="1" t="s">
        <v>98</v>
      </c>
      <c r="K36" s="4"/>
      <c r="L36" s="4"/>
      <c r="M36" s="4"/>
      <c r="N36" s="4"/>
      <c r="O36" s="4"/>
      <c r="P36" s="33"/>
      <c r="Q36" s="25">
        <v>0</v>
      </c>
      <c r="R36" s="25">
        <v>0</v>
      </c>
      <c r="S36" s="12">
        <f t="shared" si="13"/>
        <v>0</v>
      </c>
      <c r="T36" s="5">
        <v>0</v>
      </c>
      <c r="U36" s="12">
        <f t="shared" si="14"/>
        <v>0</v>
      </c>
      <c r="V36" s="25" t="s">
        <v>10</v>
      </c>
      <c r="W36" s="11">
        <f>IFERROR(VLOOKUP(V36,Curr!$B$2:$C$13,2,FALSE),0)</f>
        <v>10.8</v>
      </c>
      <c r="X36" s="12">
        <f t="shared" si="15"/>
        <v>0</v>
      </c>
      <c r="Y36" s="26">
        <f t="shared" si="16"/>
        <v>0</v>
      </c>
      <c r="Z36" s="12">
        <f t="shared" si="8"/>
        <v>0</v>
      </c>
      <c r="AA36" s="4" t="s">
        <v>10</v>
      </c>
      <c r="AB36" s="11">
        <f>IFERROR(VLOOKUP(AA36,Curr!$B$2:$C$13,2,FALSE),0)</f>
        <v>10.8</v>
      </c>
      <c r="AC36" s="12">
        <f t="shared" si="9"/>
        <v>0</v>
      </c>
      <c r="AD36" s="12">
        <f t="shared" si="10"/>
        <v>0</v>
      </c>
      <c r="AE36" s="13">
        <f t="shared" si="11"/>
        <v>0</v>
      </c>
    </row>
    <row r="37" spans="2:31" x14ac:dyDescent="0.25">
      <c r="B37" s="4"/>
      <c r="C37" s="1" t="s">
        <v>66</v>
      </c>
      <c r="D37" s="1" t="s">
        <v>76</v>
      </c>
      <c r="E37" s="3" t="s">
        <v>59</v>
      </c>
      <c r="F37" s="3"/>
      <c r="G37" s="24"/>
      <c r="H37" s="24"/>
      <c r="J37" s="1" t="s">
        <v>153</v>
      </c>
      <c r="K37" s="4"/>
      <c r="L37" s="4"/>
      <c r="M37" s="4"/>
      <c r="N37" s="4"/>
      <c r="O37" s="4"/>
      <c r="P37" s="33" t="s">
        <v>154</v>
      </c>
      <c r="Q37" s="25">
        <v>2778</v>
      </c>
      <c r="R37" s="25">
        <v>4</v>
      </c>
      <c r="S37" s="12">
        <f t="shared" ref="S37:S70" si="25">+Q37*R37</f>
        <v>11112</v>
      </c>
      <c r="T37" s="5">
        <v>0</v>
      </c>
      <c r="U37" s="12">
        <f t="shared" ref="U37:U70" si="26">S37*(1-T37)</f>
        <v>11112</v>
      </c>
      <c r="V37" s="25" t="s">
        <v>8</v>
      </c>
      <c r="W37" s="11">
        <f>IFERROR(VLOOKUP(V37,Curr!$B$2:$C$13,2,FALSE),0)</f>
        <v>1</v>
      </c>
      <c r="X37" s="12">
        <f t="shared" ref="X37:X70" si="27">U37*W37</f>
        <v>11112</v>
      </c>
      <c r="Y37" s="26">
        <f>Q37/11/0.8</f>
        <v>315.68181818181813</v>
      </c>
      <c r="Z37" s="12">
        <f t="shared" si="4"/>
        <v>1262.7272727272725</v>
      </c>
      <c r="AA37" s="4" t="s">
        <v>10</v>
      </c>
      <c r="AB37" s="11">
        <f>IFERROR(VLOOKUP(AA37,Curr!$B$2:$C$13,2,FALSE),0)</f>
        <v>10.8</v>
      </c>
      <c r="AC37" s="12">
        <f t="shared" si="5"/>
        <v>13637.454545454544</v>
      </c>
      <c r="AD37" s="12">
        <f t="shared" si="6"/>
        <v>2525.4545454545441</v>
      </c>
      <c r="AE37" s="13">
        <f t="shared" si="7"/>
        <v>0.18518518518518512</v>
      </c>
    </row>
    <row r="38" spans="2:31" x14ac:dyDescent="0.25">
      <c r="B38" s="4"/>
      <c r="C38" s="1" t="s">
        <v>66</v>
      </c>
      <c r="D38" s="1" t="s">
        <v>49</v>
      </c>
      <c r="E38" s="3" t="s">
        <v>59</v>
      </c>
      <c r="F38" s="3"/>
      <c r="G38" s="24"/>
      <c r="H38" s="24"/>
      <c r="J38" s="1" t="s">
        <v>100</v>
      </c>
      <c r="K38" s="4"/>
      <c r="L38" s="4"/>
      <c r="M38" s="4"/>
      <c r="N38" s="4"/>
      <c r="O38" s="4"/>
      <c r="P38" s="33"/>
      <c r="Q38" s="25">
        <v>1900</v>
      </c>
      <c r="R38" s="25">
        <v>1</v>
      </c>
      <c r="S38" s="12">
        <f t="shared" si="25"/>
        <v>1900</v>
      </c>
      <c r="T38" s="5">
        <v>0</v>
      </c>
      <c r="U38" s="12">
        <f t="shared" si="26"/>
        <v>1900</v>
      </c>
      <c r="V38" s="25" t="s">
        <v>8</v>
      </c>
      <c r="W38" s="11">
        <f>IFERROR(VLOOKUP(V38,Curr!$B$2:$C$13,2,FALSE),0)</f>
        <v>1</v>
      </c>
      <c r="X38" s="12">
        <f t="shared" si="27"/>
        <v>1900</v>
      </c>
      <c r="Y38" s="26">
        <f>Q38/11/0.8</f>
        <v>215.90909090909088</v>
      </c>
      <c r="Z38" s="12">
        <f t="shared" si="4"/>
        <v>215.90909090909088</v>
      </c>
      <c r="AA38" s="4" t="s">
        <v>10</v>
      </c>
      <c r="AB38" s="11">
        <f>IFERROR(VLOOKUP(AA38,Curr!$B$2:$C$13,2,FALSE),0)</f>
        <v>10.8</v>
      </c>
      <c r="AC38" s="12">
        <f t="shared" si="5"/>
        <v>2331.8181818181815</v>
      </c>
      <c r="AD38" s="12">
        <f t="shared" si="6"/>
        <v>431.81818181818153</v>
      </c>
      <c r="AE38" s="13">
        <f t="shared" si="7"/>
        <v>0.18518518518518509</v>
      </c>
    </row>
    <row r="39" spans="2:31" x14ac:dyDescent="0.25">
      <c r="B39" s="4"/>
      <c r="C39" s="1" t="s">
        <v>66</v>
      </c>
      <c r="D39" s="1" t="s">
        <v>50</v>
      </c>
      <c r="E39" s="3" t="s">
        <v>59</v>
      </c>
      <c r="F39" s="3" t="s">
        <v>63</v>
      </c>
      <c r="G39" s="24"/>
      <c r="H39" s="24"/>
      <c r="J39" s="1" t="s">
        <v>195</v>
      </c>
      <c r="K39" s="4"/>
      <c r="L39" s="4"/>
      <c r="M39" s="4"/>
      <c r="N39" s="4"/>
      <c r="O39" s="4"/>
      <c r="P39" s="33" t="s">
        <v>196</v>
      </c>
      <c r="Q39" s="25">
        <v>2058</v>
      </c>
      <c r="R39" s="25">
        <v>1</v>
      </c>
      <c r="S39" s="12">
        <f t="shared" si="25"/>
        <v>2058</v>
      </c>
      <c r="T39" s="5">
        <v>0</v>
      </c>
      <c r="U39" s="12">
        <f t="shared" si="26"/>
        <v>2058</v>
      </c>
      <c r="V39" s="25" t="s">
        <v>10</v>
      </c>
      <c r="W39" s="11">
        <f>IFERROR(VLOOKUP(V39,Curr!$B$2:$C$13,2,FALSE),0)</f>
        <v>10.8</v>
      </c>
      <c r="X39" s="12">
        <f t="shared" si="27"/>
        <v>22226.400000000001</v>
      </c>
      <c r="Y39" s="26">
        <f>Q39/0.85</f>
        <v>2421.1764705882351</v>
      </c>
      <c r="Z39" s="12">
        <f t="shared" si="4"/>
        <v>2421.1764705882351</v>
      </c>
      <c r="AA39" s="4" t="s">
        <v>10</v>
      </c>
      <c r="AB39" s="11">
        <f>IFERROR(VLOOKUP(AA39,Curr!$B$2:$C$13,2,FALSE),0)</f>
        <v>10.8</v>
      </c>
      <c r="AC39" s="12">
        <f t="shared" si="5"/>
        <v>26148.705882352941</v>
      </c>
      <c r="AD39" s="12">
        <f t="shared" si="6"/>
        <v>3922.3058823529391</v>
      </c>
      <c r="AE39" s="13">
        <f t="shared" si="7"/>
        <v>0.14999999999999991</v>
      </c>
    </row>
    <row r="40" spans="2:31" x14ac:dyDescent="0.25">
      <c r="B40" s="4"/>
      <c r="C40" s="1" t="s">
        <v>66</v>
      </c>
      <c r="D40" s="1" t="s">
        <v>51</v>
      </c>
      <c r="E40" s="3" t="s">
        <v>59</v>
      </c>
      <c r="F40" s="3"/>
      <c r="G40" s="24"/>
      <c r="H40" s="24"/>
      <c r="J40" s="1" t="s">
        <v>102</v>
      </c>
      <c r="K40" s="4"/>
      <c r="L40" s="4"/>
      <c r="M40" s="4"/>
      <c r="N40" s="4"/>
      <c r="O40" s="4"/>
      <c r="P40" s="33"/>
      <c r="Q40" s="25">
        <v>0</v>
      </c>
      <c r="R40" s="25">
        <v>0</v>
      </c>
      <c r="S40" s="12">
        <f t="shared" si="25"/>
        <v>0</v>
      </c>
      <c r="T40" s="5">
        <v>0</v>
      </c>
      <c r="U40" s="12">
        <f t="shared" si="26"/>
        <v>0</v>
      </c>
      <c r="V40" s="25" t="s">
        <v>10</v>
      </c>
      <c r="W40" s="11">
        <f>IFERROR(VLOOKUP(V40,Curr!$B$2:$C$13,2,FALSE),0)</f>
        <v>10.8</v>
      </c>
      <c r="X40" s="12">
        <f t="shared" si="27"/>
        <v>0</v>
      </c>
      <c r="Y40" s="26">
        <f t="shared" ref="Y40:Y69" si="28">Q40</f>
        <v>0</v>
      </c>
      <c r="Z40" s="12">
        <f t="shared" si="4"/>
        <v>0</v>
      </c>
      <c r="AA40" s="4" t="s">
        <v>10</v>
      </c>
      <c r="AB40" s="11">
        <f>IFERROR(VLOOKUP(AA40,Curr!$B$2:$C$13,2,FALSE),0)</f>
        <v>10.8</v>
      </c>
      <c r="AC40" s="12">
        <f t="shared" si="5"/>
        <v>0</v>
      </c>
      <c r="AD40" s="12">
        <f t="shared" si="6"/>
        <v>0</v>
      </c>
      <c r="AE40" s="13">
        <f t="shared" si="7"/>
        <v>0</v>
      </c>
    </row>
    <row r="41" spans="2:31" x14ac:dyDescent="0.25">
      <c r="B41" s="4"/>
      <c r="E41" s="3"/>
      <c r="F41" s="3"/>
      <c r="G41" s="24"/>
      <c r="H41" s="24"/>
      <c r="K41" s="4"/>
      <c r="L41" s="4"/>
      <c r="M41" s="4"/>
      <c r="N41" s="4"/>
      <c r="O41" s="4"/>
      <c r="P41" s="27"/>
      <c r="Q41" s="25"/>
      <c r="R41" s="25"/>
      <c r="S41" s="12">
        <f t="shared" si="25"/>
        <v>0</v>
      </c>
      <c r="T41" s="5">
        <v>0</v>
      </c>
      <c r="U41" s="12">
        <f t="shared" si="26"/>
        <v>0</v>
      </c>
      <c r="V41" s="25" t="s">
        <v>10</v>
      </c>
      <c r="W41" s="11">
        <f>IFERROR(VLOOKUP(V41,Curr!$B$2:$C$13,2,FALSE),0)</f>
        <v>10.8</v>
      </c>
      <c r="X41" s="12">
        <f t="shared" si="27"/>
        <v>0</v>
      </c>
      <c r="Y41" s="26">
        <f t="shared" si="28"/>
        <v>0</v>
      </c>
      <c r="Z41" s="12">
        <f t="shared" si="4"/>
        <v>0</v>
      </c>
      <c r="AA41" s="4" t="s">
        <v>10</v>
      </c>
      <c r="AB41" s="11">
        <f>IFERROR(VLOOKUP(AA41,Curr!$B$2:$C$13,2,FALSE),0)</f>
        <v>10.8</v>
      </c>
      <c r="AC41" s="12">
        <f t="shared" si="5"/>
        <v>0</v>
      </c>
      <c r="AD41" s="12">
        <f t="shared" si="6"/>
        <v>0</v>
      </c>
      <c r="AE41" s="13">
        <f t="shared" si="7"/>
        <v>0</v>
      </c>
    </row>
    <row r="42" spans="2:31" x14ac:dyDescent="0.25">
      <c r="B42" s="4"/>
      <c r="C42" s="1" t="s">
        <v>103</v>
      </c>
      <c r="D42" s="1" t="s">
        <v>56</v>
      </c>
      <c r="E42" s="3" t="s">
        <v>61</v>
      </c>
      <c r="F42" s="3"/>
      <c r="G42" s="24"/>
      <c r="H42" s="24"/>
      <c r="J42" s="1" t="s">
        <v>157</v>
      </c>
      <c r="K42" s="4"/>
      <c r="L42" s="4"/>
      <c r="M42" s="4"/>
      <c r="N42" s="4"/>
      <c r="O42" s="4"/>
      <c r="P42" s="33" t="s">
        <v>158</v>
      </c>
      <c r="Q42" s="25">
        <v>40</v>
      </c>
      <c r="R42" s="25">
        <v>4</v>
      </c>
      <c r="S42" s="12">
        <f t="shared" si="25"/>
        <v>160</v>
      </c>
      <c r="T42" s="5">
        <v>0.2</v>
      </c>
      <c r="U42" s="12">
        <f t="shared" si="26"/>
        <v>128</v>
      </c>
      <c r="V42" s="25" t="s">
        <v>10</v>
      </c>
      <c r="W42" s="11">
        <f>IFERROR(VLOOKUP(V42,Curr!$B$2:$C$13,2,FALSE),0)</f>
        <v>10.8</v>
      </c>
      <c r="X42" s="12">
        <f t="shared" si="27"/>
        <v>1382.4</v>
      </c>
      <c r="Y42" s="26">
        <f t="shared" si="28"/>
        <v>40</v>
      </c>
      <c r="Z42" s="12">
        <f t="shared" si="4"/>
        <v>160</v>
      </c>
      <c r="AA42" s="4" t="s">
        <v>10</v>
      </c>
      <c r="AB42" s="11">
        <f>IFERROR(VLOOKUP(AA42,Curr!$B$2:$C$13,2,FALSE),0)</f>
        <v>10.8</v>
      </c>
      <c r="AC42" s="12">
        <f t="shared" si="5"/>
        <v>1728</v>
      </c>
      <c r="AD42" s="12">
        <f t="shared" si="6"/>
        <v>345.59999999999991</v>
      </c>
      <c r="AE42" s="13">
        <f t="shared" si="7"/>
        <v>0.19999999999999996</v>
      </c>
    </row>
    <row r="43" spans="2:31" x14ac:dyDescent="0.25">
      <c r="B43" s="4"/>
      <c r="C43" s="1" t="s">
        <v>103</v>
      </c>
      <c r="D43" s="1" t="s">
        <v>51</v>
      </c>
      <c r="E43" s="3" t="s">
        <v>61</v>
      </c>
      <c r="F43" s="3"/>
      <c r="G43" s="24"/>
      <c r="H43" s="24"/>
      <c r="J43" s="1" t="s">
        <v>102</v>
      </c>
      <c r="K43" s="4"/>
      <c r="L43" s="4"/>
      <c r="M43" s="4"/>
      <c r="N43" s="4"/>
      <c r="O43" s="4"/>
      <c r="P43" s="33"/>
      <c r="Q43" s="25">
        <v>0</v>
      </c>
      <c r="R43" s="25">
        <v>0</v>
      </c>
      <c r="S43" s="12">
        <f t="shared" si="25"/>
        <v>0</v>
      </c>
      <c r="T43" s="5">
        <v>0</v>
      </c>
      <c r="U43" s="12">
        <f t="shared" si="26"/>
        <v>0</v>
      </c>
      <c r="V43" s="25" t="s">
        <v>10</v>
      </c>
      <c r="W43" s="11">
        <f>IFERROR(VLOOKUP(V43,Curr!$B$2:$C$13,2,FALSE),0)</f>
        <v>10.8</v>
      </c>
      <c r="X43" s="12">
        <f t="shared" si="27"/>
        <v>0</v>
      </c>
      <c r="Y43" s="26">
        <f t="shared" si="28"/>
        <v>0</v>
      </c>
      <c r="Z43" s="12">
        <f t="shared" si="4"/>
        <v>0</v>
      </c>
      <c r="AA43" s="4" t="s">
        <v>10</v>
      </c>
      <c r="AB43" s="11">
        <f>IFERROR(VLOOKUP(AA43,Curr!$B$2:$C$13,2,FALSE),0)</f>
        <v>10.8</v>
      </c>
      <c r="AC43" s="12">
        <f t="shared" si="5"/>
        <v>0</v>
      </c>
      <c r="AD43" s="12">
        <f t="shared" si="6"/>
        <v>0</v>
      </c>
      <c r="AE43" s="13">
        <f t="shared" si="7"/>
        <v>0</v>
      </c>
    </row>
    <row r="44" spans="2:31" x14ac:dyDescent="0.25">
      <c r="B44" s="4"/>
      <c r="E44" s="3"/>
      <c r="F44" s="3"/>
      <c r="G44" s="24"/>
      <c r="H44" s="24"/>
      <c r="K44" s="4"/>
      <c r="L44" s="4"/>
      <c r="M44" s="4"/>
      <c r="N44" s="4"/>
      <c r="O44" s="4"/>
      <c r="P44" s="27"/>
      <c r="Q44" s="25"/>
      <c r="R44" s="25"/>
      <c r="S44" s="12">
        <f t="shared" si="25"/>
        <v>0</v>
      </c>
      <c r="T44" s="5">
        <v>0</v>
      </c>
      <c r="U44" s="12">
        <f t="shared" si="26"/>
        <v>0</v>
      </c>
      <c r="V44" s="25" t="s">
        <v>10</v>
      </c>
      <c r="W44" s="11">
        <f>IFERROR(VLOOKUP(V44,Curr!$B$2:$C$13,2,FALSE),0)</f>
        <v>10.8</v>
      </c>
      <c r="X44" s="12">
        <f t="shared" si="27"/>
        <v>0</v>
      </c>
      <c r="Y44" s="26">
        <f t="shared" si="28"/>
        <v>0</v>
      </c>
      <c r="Z44" s="12">
        <f t="shared" si="4"/>
        <v>0</v>
      </c>
      <c r="AA44" s="4" t="s">
        <v>10</v>
      </c>
      <c r="AB44" s="11">
        <f>IFERROR(VLOOKUP(AA44,Curr!$B$2:$C$13,2,FALSE),0)</f>
        <v>10.8</v>
      </c>
      <c r="AC44" s="12">
        <f t="shared" si="5"/>
        <v>0</v>
      </c>
      <c r="AD44" s="12">
        <f t="shared" si="6"/>
        <v>0</v>
      </c>
      <c r="AE44" s="13">
        <f t="shared" si="7"/>
        <v>0</v>
      </c>
    </row>
    <row r="45" spans="2:31" x14ac:dyDescent="0.25">
      <c r="B45" s="4"/>
      <c r="C45" s="1" t="s">
        <v>104</v>
      </c>
      <c r="D45" s="1" t="s">
        <v>49</v>
      </c>
      <c r="E45" s="3" t="s">
        <v>63</v>
      </c>
      <c r="F45" s="3"/>
      <c r="G45" s="24"/>
      <c r="H45" s="24"/>
      <c r="J45" s="1" t="s">
        <v>105</v>
      </c>
      <c r="K45" s="4"/>
      <c r="L45" s="4"/>
      <c r="M45" s="4"/>
      <c r="N45" s="4"/>
      <c r="O45" s="4"/>
      <c r="P45" s="33"/>
      <c r="Q45" s="25">
        <v>0</v>
      </c>
      <c r="R45" s="25">
        <v>0</v>
      </c>
      <c r="S45" s="12">
        <f t="shared" si="25"/>
        <v>0</v>
      </c>
      <c r="T45" s="5">
        <v>0</v>
      </c>
      <c r="U45" s="12">
        <f t="shared" si="26"/>
        <v>0</v>
      </c>
      <c r="V45" s="25" t="s">
        <v>10</v>
      </c>
      <c r="W45" s="11">
        <f>IFERROR(VLOOKUP(V45,Curr!$B$2:$C$13,2,FALSE),0)</f>
        <v>10.8</v>
      </c>
      <c r="X45" s="12">
        <f t="shared" si="27"/>
        <v>0</v>
      </c>
      <c r="Y45" s="26">
        <f t="shared" si="28"/>
        <v>0</v>
      </c>
      <c r="Z45" s="12">
        <f t="shared" si="4"/>
        <v>0</v>
      </c>
      <c r="AA45" s="4" t="s">
        <v>10</v>
      </c>
      <c r="AB45" s="11">
        <f>IFERROR(VLOOKUP(AA45,Curr!$B$2:$C$13,2,FALSE),0)</f>
        <v>10.8</v>
      </c>
      <c r="AC45" s="12">
        <f t="shared" si="5"/>
        <v>0</v>
      </c>
      <c r="AD45" s="12">
        <f t="shared" si="6"/>
        <v>0</v>
      </c>
      <c r="AE45" s="13">
        <f t="shared" si="7"/>
        <v>0</v>
      </c>
    </row>
    <row r="46" spans="2:31" x14ac:dyDescent="0.25">
      <c r="B46" s="4"/>
      <c r="C46" s="1" t="s">
        <v>104</v>
      </c>
      <c r="D46" s="1" t="s">
        <v>56</v>
      </c>
      <c r="E46" s="3" t="s">
        <v>63</v>
      </c>
      <c r="F46" s="3"/>
      <c r="G46" s="24"/>
      <c r="H46" s="24"/>
      <c r="J46" s="1" t="s">
        <v>225</v>
      </c>
      <c r="K46" s="4"/>
      <c r="L46" s="4"/>
      <c r="M46" s="4"/>
      <c r="N46" s="4"/>
      <c r="O46" s="4"/>
      <c r="P46" s="33" t="s">
        <v>160</v>
      </c>
      <c r="Q46" s="25">
        <f>3873+450</f>
        <v>4323</v>
      </c>
      <c r="R46" s="25">
        <v>4</v>
      </c>
      <c r="S46" s="12">
        <f t="shared" si="25"/>
        <v>17292</v>
      </c>
      <c r="T46" s="5">
        <v>0.12</v>
      </c>
      <c r="U46" s="12">
        <f t="shared" si="26"/>
        <v>15216.960000000001</v>
      </c>
      <c r="V46" s="25" t="s">
        <v>8</v>
      </c>
      <c r="W46" s="11">
        <f>IFERROR(VLOOKUP(V46,Curr!$B$2:$C$13,2,FALSE),0)</f>
        <v>1</v>
      </c>
      <c r="X46" s="12">
        <f t="shared" si="27"/>
        <v>15216.960000000001</v>
      </c>
      <c r="Y46" s="26">
        <f>Q46/11/0.9</f>
        <v>436.66666666666663</v>
      </c>
      <c r="Z46" s="12">
        <f t="shared" si="4"/>
        <v>1746.6666666666665</v>
      </c>
      <c r="AA46" s="4" t="s">
        <v>10</v>
      </c>
      <c r="AB46" s="11">
        <f>IFERROR(VLOOKUP(AA46,Curr!$B$2:$C$13,2,FALSE),0)</f>
        <v>10.8</v>
      </c>
      <c r="AC46" s="12">
        <f t="shared" si="5"/>
        <v>18864</v>
      </c>
      <c r="AD46" s="12">
        <f t="shared" si="6"/>
        <v>3647.0399999999991</v>
      </c>
      <c r="AE46" s="13">
        <f t="shared" si="7"/>
        <v>0.19333333333333327</v>
      </c>
    </row>
    <row r="47" spans="2:31" x14ac:dyDescent="0.25">
      <c r="B47" s="4"/>
      <c r="C47" s="1" t="s">
        <v>104</v>
      </c>
      <c r="D47" s="1" t="s">
        <v>49</v>
      </c>
      <c r="E47" s="3" t="s">
        <v>63</v>
      </c>
      <c r="F47" s="3"/>
      <c r="G47" s="24"/>
      <c r="H47" s="24"/>
      <c r="J47" s="1" t="s">
        <v>108</v>
      </c>
      <c r="K47" s="4"/>
      <c r="L47" s="4"/>
      <c r="M47" s="4"/>
      <c r="N47" s="4"/>
      <c r="O47" s="4"/>
      <c r="P47" s="33" t="s">
        <v>166</v>
      </c>
      <c r="Q47" s="25">
        <v>1490</v>
      </c>
      <c r="R47" s="25">
        <v>1</v>
      </c>
      <c r="S47" s="12">
        <f t="shared" si="25"/>
        <v>1490</v>
      </c>
      <c r="T47" s="5">
        <v>0.15</v>
      </c>
      <c r="U47" s="12">
        <f t="shared" si="26"/>
        <v>1266.5</v>
      </c>
      <c r="V47" s="25" t="s">
        <v>8</v>
      </c>
      <c r="W47" s="11">
        <f>IFERROR(VLOOKUP(V47,Curr!$B$2:$C$13,2,FALSE),0)</f>
        <v>1</v>
      </c>
      <c r="X47" s="12">
        <f t="shared" si="27"/>
        <v>1266.5</v>
      </c>
      <c r="Y47" s="26">
        <f>Q47/11/0.9</f>
        <v>150.50505050505052</v>
      </c>
      <c r="Z47" s="12">
        <f t="shared" si="4"/>
        <v>150.50505050505052</v>
      </c>
      <c r="AA47" s="4" t="s">
        <v>10</v>
      </c>
      <c r="AB47" s="11">
        <f>IFERROR(VLOOKUP(AA47,Curr!$B$2:$C$13,2,FALSE),0)</f>
        <v>10.8</v>
      </c>
      <c r="AC47" s="12">
        <f t="shared" si="5"/>
        <v>1625.4545454545457</v>
      </c>
      <c r="AD47" s="12">
        <f t="shared" si="6"/>
        <v>358.95454545454572</v>
      </c>
      <c r="AE47" s="13">
        <f t="shared" si="7"/>
        <v>0.22083333333333346</v>
      </c>
    </row>
    <row r="48" spans="2:31" x14ac:dyDescent="0.25">
      <c r="B48" s="4"/>
      <c r="C48" s="1" t="s">
        <v>104</v>
      </c>
      <c r="D48" s="1" t="s">
        <v>50</v>
      </c>
      <c r="E48" s="3" t="s">
        <v>63</v>
      </c>
      <c r="F48" s="3" t="s">
        <v>68</v>
      </c>
      <c r="G48" s="1"/>
      <c r="H48" s="1"/>
      <c r="J48" s="1" t="s">
        <v>198</v>
      </c>
      <c r="K48" s="4"/>
      <c r="L48" s="4"/>
      <c r="M48" s="4"/>
      <c r="N48" s="4"/>
      <c r="O48" s="4"/>
      <c r="P48" s="29" t="s">
        <v>199</v>
      </c>
      <c r="Q48" s="25">
        <v>2620</v>
      </c>
      <c r="R48" s="25">
        <v>1</v>
      </c>
      <c r="S48" s="12">
        <f t="shared" si="25"/>
        <v>2620</v>
      </c>
      <c r="T48" s="5">
        <v>0</v>
      </c>
      <c r="U48" s="12">
        <f t="shared" si="26"/>
        <v>2620</v>
      </c>
      <c r="V48" s="25" t="s">
        <v>10</v>
      </c>
      <c r="W48" s="11">
        <f>IFERROR(VLOOKUP(V48,Curr!$B$2:$C$13,2,FALSE),0)</f>
        <v>10.8</v>
      </c>
      <c r="X48" s="12">
        <f t="shared" si="27"/>
        <v>28296.000000000004</v>
      </c>
      <c r="Y48" s="26">
        <f>Q48/0.85</f>
        <v>3082.3529411764707</v>
      </c>
      <c r="Z48" s="12">
        <f t="shared" si="4"/>
        <v>3082.3529411764707</v>
      </c>
      <c r="AA48" s="4" t="s">
        <v>10</v>
      </c>
      <c r="AB48" s="11">
        <f>IFERROR(VLOOKUP(AA48,Curr!$B$2:$C$13,2,FALSE),0)</f>
        <v>10.8</v>
      </c>
      <c r="AC48" s="12">
        <f t="shared" si="5"/>
        <v>33289.411764705888</v>
      </c>
      <c r="AD48" s="12">
        <f t="shared" si="6"/>
        <v>4993.4117647058847</v>
      </c>
      <c r="AE48" s="13">
        <f t="shared" si="7"/>
        <v>0.15000000000000005</v>
      </c>
    </row>
    <row r="49" spans="2:31" x14ac:dyDescent="0.25">
      <c r="B49" s="4"/>
      <c r="C49" s="1" t="s">
        <v>104</v>
      </c>
      <c r="D49" s="1" t="s">
        <v>51</v>
      </c>
      <c r="E49" s="3" t="s">
        <v>63</v>
      </c>
      <c r="F49" s="1"/>
      <c r="G49" s="1"/>
      <c r="H49" s="1"/>
      <c r="J49" s="1" t="s">
        <v>109</v>
      </c>
      <c r="K49" s="4"/>
      <c r="L49" s="4"/>
      <c r="M49" s="4"/>
      <c r="N49" s="4"/>
      <c r="O49" s="4"/>
      <c r="P49" s="33"/>
      <c r="Q49" s="25">
        <v>0</v>
      </c>
      <c r="R49" s="25">
        <v>0</v>
      </c>
      <c r="S49" s="12">
        <f t="shared" si="25"/>
        <v>0</v>
      </c>
      <c r="T49" s="5">
        <v>0</v>
      </c>
      <c r="U49" s="12">
        <f t="shared" si="26"/>
        <v>0</v>
      </c>
      <c r="V49" s="25" t="s">
        <v>10</v>
      </c>
      <c r="W49" s="11">
        <f>IFERROR(VLOOKUP(V49,Curr!$B$2:$C$13,2,FALSE),0)</f>
        <v>10.8</v>
      </c>
      <c r="X49" s="12">
        <f t="shared" si="27"/>
        <v>0</v>
      </c>
      <c r="Y49" s="26">
        <f t="shared" ref="Y49" si="29">Q49</f>
        <v>0</v>
      </c>
      <c r="Z49" s="12">
        <f t="shared" si="4"/>
        <v>0</v>
      </c>
      <c r="AA49" s="4" t="s">
        <v>10</v>
      </c>
      <c r="AB49" s="11">
        <f>IFERROR(VLOOKUP(AA49,Curr!$B$2:$C$13,2,FALSE),0)</f>
        <v>10.8</v>
      </c>
      <c r="AC49" s="12">
        <f t="shared" si="5"/>
        <v>0</v>
      </c>
      <c r="AD49" s="12">
        <f t="shared" si="6"/>
        <v>0</v>
      </c>
      <c r="AE49" s="13">
        <f t="shared" si="7"/>
        <v>0</v>
      </c>
    </row>
    <row r="50" spans="2:31" x14ac:dyDescent="0.25">
      <c r="B50" s="4"/>
      <c r="E50" s="3"/>
      <c r="F50" s="1"/>
      <c r="G50" s="1"/>
      <c r="H50" s="1"/>
      <c r="K50" s="4"/>
      <c r="L50" s="4"/>
      <c r="M50" s="4"/>
      <c r="N50" s="4"/>
      <c r="O50" s="4"/>
      <c r="P50" s="33"/>
      <c r="Q50" s="25"/>
      <c r="R50" s="25"/>
      <c r="S50" s="12">
        <f t="shared" si="25"/>
        <v>0</v>
      </c>
      <c r="T50" s="5">
        <v>0</v>
      </c>
      <c r="U50" s="12">
        <f t="shared" si="26"/>
        <v>0</v>
      </c>
      <c r="V50" s="25" t="s">
        <v>10</v>
      </c>
      <c r="W50" s="11">
        <f>IFERROR(VLOOKUP(V50,Curr!$B$2:$C$13,2,FALSE),0)</f>
        <v>10.8</v>
      </c>
      <c r="X50" s="12">
        <f t="shared" si="27"/>
        <v>0</v>
      </c>
      <c r="Y50" s="26">
        <f t="shared" si="28"/>
        <v>0</v>
      </c>
      <c r="Z50" s="12">
        <f t="shared" si="4"/>
        <v>0</v>
      </c>
      <c r="AA50" s="4" t="s">
        <v>10</v>
      </c>
      <c r="AB50" s="11">
        <f>IFERROR(VLOOKUP(AA50,Curr!$B$2:$C$13,2,FALSE),0)</f>
        <v>10.8</v>
      </c>
      <c r="AC50" s="12">
        <f t="shared" si="5"/>
        <v>0</v>
      </c>
      <c r="AD50" s="12">
        <f t="shared" si="6"/>
        <v>0</v>
      </c>
      <c r="AE50" s="13">
        <f t="shared" si="7"/>
        <v>0</v>
      </c>
    </row>
    <row r="51" spans="2:31" x14ac:dyDescent="0.25">
      <c r="B51" s="4"/>
      <c r="C51" s="1" t="s">
        <v>107</v>
      </c>
      <c r="D51" s="1" t="s">
        <v>56</v>
      </c>
      <c r="E51" s="3" t="s">
        <v>64</v>
      </c>
      <c r="F51" s="3"/>
      <c r="G51" s="24"/>
      <c r="H51" s="24"/>
      <c r="J51" s="1" t="s">
        <v>164</v>
      </c>
      <c r="K51" s="4"/>
      <c r="L51" s="4"/>
      <c r="M51" s="4"/>
      <c r="N51" s="4"/>
      <c r="O51" s="4"/>
      <c r="P51" s="33" t="s">
        <v>167</v>
      </c>
      <c r="Q51" s="25">
        <v>200</v>
      </c>
      <c r="R51" s="25">
        <v>4</v>
      </c>
      <c r="S51" s="12">
        <f t="shared" si="25"/>
        <v>800</v>
      </c>
      <c r="T51" s="5">
        <v>0</v>
      </c>
      <c r="U51" s="12">
        <f t="shared" si="26"/>
        <v>800</v>
      </c>
      <c r="V51" s="25" t="s">
        <v>8</v>
      </c>
      <c r="W51" s="11">
        <f>IFERROR(VLOOKUP(V51,Curr!$B$2:$C$13,2,FALSE),0)</f>
        <v>1</v>
      </c>
      <c r="X51" s="12">
        <f t="shared" si="27"/>
        <v>800</v>
      </c>
      <c r="Y51" s="26">
        <f>Q51/11/0.6</f>
        <v>30.303030303030308</v>
      </c>
      <c r="Z51" s="12">
        <f t="shared" si="4"/>
        <v>121.21212121212123</v>
      </c>
      <c r="AA51" s="4" t="s">
        <v>10</v>
      </c>
      <c r="AB51" s="11">
        <f>IFERROR(VLOOKUP(AA51,Curr!$B$2:$C$13,2,FALSE),0)</f>
        <v>10.8</v>
      </c>
      <c r="AC51" s="12">
        <f t="shared" si="5"/>
        <v>1309.0909090909095</v>
      </c>
      <c r="AD51" s="12">
        <f t="shared" si="6"/>
        <v>509.09090909090946</v>
      </c>
      <c r="AE51" s="13">
        <f t="shared" si="7"/>
        <v>0.38888888888888906</v>
      </c>
    </row>
    <row r="52" spans="2:31" x14ac:dyDescent="0.25">
      <c r="B52" s="4"/>
      <c r="C52" s="1" t="s">
        <v>107</v>
      </c>
      <c r="D52" s="1" t="s">
        <v>51</v>
      </c>
      <c r="E52" s="3" t="s">
        <v>64</v>
      </c>
      <c r="F52" s="3"/>
      <c r="G52" s="24"/>
      <c r="H52" s="24"/>
      <c r="J52" s="1" t="s">
        <v>109</v>
      </c>
      <c r="K52" s="4"/>
      <c r="L52" s="4"/>
      <c r="M52" s="4"/>
      <c r="N52" s="4"/>
      <c r="O52" s="4"/>
      <c r="P52" s="33"/>
      <c r="Q52" s="25">
        <v>0</v>
      </c>
      <c r="R52" s="25">
        <v>0</v>
      </c>
      <c r="S52" s="12">
        <f t="shared" si="25"/>
        <v>0</v>
      </c>
      <c r="T52" s="5">
        <v>0</v>
      </c>
      <c r="U52" s="12">
        <f t="shared" si="26"/>
        <v>0</v>
      </c>
      <c r="V52" s="25" t="s">
        <v>10</v>
      </c>
      <c r="W52" s="11">
        <f>IFERROR(VLOOKUP(V52,Curr!$B$2:$C$13,2,FALSE),0)</f>
        <v>10.8</v>
      </c>
      <c r="X52" s="12">
        <f t="shared" si="27"/>
        <v>0</v>
      </c>
      <c r="Y52" s="26">
        <f t="shared" ref="Y52" si="30">Q52</f>
        <v>0</v>
      </c>
      <c r="Z52" s="12">
        <f t="shared" si="4"/>
        <v>0</v>
      </c>
      <c r="AA52" s="4" t="s">
        <v>10</v>
      </c>
      <c r="AB52" s="11">
        <f>IFERROR(VLOOKUP(AA52,Curr!$B$2:$C$13,2,FALSE),0)</f>
        <v>10.8</v>
      </c>
      <c r="AC52" s="12">
        <f t="shared" si="5"/>
        <v>0</v>
      </c>
      <c r="AD52" s="12">
        <f t="shared" si="6"/>
        <v>0</v>
      </c>
      <c r="AE52" s="13">
        <f t="shared" si="7"/>
        <v>0</v>
      </c>
    </row>
    <row r="53" spans="2:31" x14ac:dyDescent="0.25">
      <c r="B53" s="4"/>
      <c r="C53" s="1" t="s">
        <v>107</v>
      </c>
      <c r="D53" s="1" t="s">
        <v>56</v>
      </c>
      <c r="E53" s="3" t="s">
        <v>64</v>
      </c>
      <c r="F53" s="3"/>
      <c r="G53" s="24"/>
      <c r="H53" s="24"/>
      <c r="J53" s="1" t="s">
        <v>165</v>
      </c>
      <c r="K53" s="4"/>
      <c r="L53" s="4"/>
      <c r="M53" s="4"/>
      <c r="N53" s="4"/>
      <c r="O53" s="4"/>
      <c r="P53" s="33" t="s">
        <v>163</v>
      </c>
      <c r="Q53" s="25">
        <v>75</v>
      </c>
      <c r="R53" s="25">
        <v>4</v>
      </c>
      <c r="S53" s="12">
        <f t="shared" si="25"/>
        <v>300</v>
      </c>
      <c r="T53" s="5">
        <v>0.2</v>
      </c>
      <c r="U53" s="12">
        <f t="shared" si="26"/>
        <v>240</v>
      </c>
      <c r="V53" s="25" t="s">
        <v>10</v>
      </c>
      <c r="W53" s="11">
        <f>IFERROR(VLOOKUP(V53,Curr!$B$2:$C$13,2,FALSE),0)</f>
        <v>10.8</v>
      </c>
      <c r="X53" s="12">
        <f t="shared" si="27"/>
        <v>2592</v>
      </c>
      <c r="Y53" s="26">
        <f>Q53/0.9</f>
        <v>83.333333333333329</v>
      </c>
      <c r="Z53" s="12">
        <f t="shared" si="4"/>
        <v>333.33333333333331</v>
      </c>
      <c r="AA53" s="4" t="s">
        <v>10</v>
      </c>
      <c r="AB53" s="11">
        <f>IFERROR(VLOOKUP(AA53,Curr!$B$2:$C$13,2,FALSE),0)</f>
        <v>10.8</v>
      </c>
      <c r="AC53" s="12">
        <f t="shared" si="5"/>
        <v>3600</v>
      </c>
      <c r="AD53" s="12">
        <f t="shared" si="6"/>
        <v>1008</v>
      </c>
      <c r="AE53" s="13">
        <f t="shared" si="7"/>
        <v>0.28000000000000003</v>
      </c>
    </row>
    <row r="54" spans="2:31" x14ac:dyDescent="0.25">
      <c r="B54" s="4"/>
      <c r="E54" s="3"/>
      <c r="F54" s="3"/>
      <c r="G54" s="24"/>
      <c r="H54" s="24"/>
      <c r="K54" s="4"/>
      <c r="L54" s="4"/>
      <c r="M54" s="4"/>
      <c r="N54" s="4"/>
      <c r="O54" s="4"/>
      <c r="P54" s="33"/>
      <c r="Q54" s="25"/>
      <c r="R54" s="25"/>
      <c r="S54" s="12">
        <f t="shared" si="25"/>
        <v>0</v>
      </c>
      <c r="T54" s="5">
        <v>0</v>
      </c>
      <c r="U54" s="12">
        <f t="shared" si="26"/>
        <v>0</v>
      </c>
      <c r="V54" s="25" t="s">
        <v>10</v>
      </c>
      <c r="W54" s="11">
        <f>IFERROR(VLOOKUP(V54,Curr!$B$2:$C$13,2,FALSE),0)</f>
        <v>10.8</v>
      </c>
      <c r="X54" s="12">
        <f t="shared" si="27"/>
        <v>0</v>
      </c>
      <c r="Y54" s="26">
        <f t="shared" si="28"/>
        <v>0</v>
      </c>
      <c r="Z54" s="12">
        <f t="shared" si="4"/>
        <v>0</v>
      </c>
      <c r="AA54" s="4" t="s">
        <v>10</v>
      </c>
      <c r="AB54" s="11">
        <f>IFERROR(VLOOKUP(AA54,Curr!$B$2:$C$13,2,FALSE),0)</f>
        <v>10.8</v>
      </c>
      <c r="AC54" s="12">
        <f t="shared" si="5"/>
        <v>0</v>
      </c>
      <c r="AD54" s="12">
        <f t="shared" si="6"/>
        <v>0</v>
      </c>
      <c r="AE54" s="13">
        <f t="shared" si="7"/>
        <v>0</v>
      </c>
    </row>
    <row r="55" spans="2:31" x14ac:dyDescent="0.25">
      <c r="B55" s="4"/>
      <c r="C55" s="1" t="s">
        <v>112</v>
      </c>
      <c r="D55" s="1" t="s">
        <v>49</v>
      </c>
      <c r="E55" s="3" t="s">
        <v>68</v>
      </c>
      <c r="F55" s="3"/>
      <c r="G55" s="24"/>
      <c r="H55" s="24"/>
      <c r="J55" s="1" t="s">
        <v>134</v>
      </c>
      <c r="K55" s="4"/>
      <c r="L55" s="4"/>
      <c r="M55" s="4"/>
      <c r="N55" s="4"/>
      <c r="O55" s="4"/>
      <c r="P55" s="33" t="s">
        <v>166</v>
      </c>
      <c r="Q55" s="25">
        <v>2290</v>
      </c>
      <c r="R55" s="25">
        <v>1</v>
      </c>
      <c r="S55" s="12">
        <f t="shared" si="25"/>
        <v>2290</v>
      </c>
      <c r="T55" s="5">
        <v>0.15</v>
      </c>
      <c r="U55" s="12">
        <f t="shared" si="26"/>
        <v>1946.5</v>
      </c>
      <c r="V55" s="25" t="s">
        <v>8</v>
      </c>
      <c r="W55" s="11">
        <f>IFERROR(VLOOKUP(V55,Curr!$B$2:$C$13,2,FALSE),0)</f>
        <v>1</v>
      </c>
      <c r="X55" s="12">
        <f t="shared" si="27"/>
        <v>1946.5</v>
      </c>
      <c r="Y55" s="26">
        <f>Q55/11/0.9</f>
        <v>231.31313131313132</v>
      </c>
      <c r="Z55" s="12">
        <f t="shared" si="4"/>
        <v>231.31313131313132</v>
      </c>
      <c r="AA55" s="4" t="s">
        <v>10</v>
      </c>
      <c r="AB55" s="11">
        <f>IFERROR(VLOOKUP(AA55,Curr!$B$2:$C$13,2,FALSE),0)</f>
        <v>10.8</v>
      </c>
      <c r="AC55" s="12">
        <f t="shared" si="5"/>
        <v>2498.1818181818185</v>
      </c>
      <c r="AD55" s="12">
        <f t="shared" si="6"/>
        <v>551.68181818181847</v>
      </c>
      <c r="AE55" s="13">
        <f t="shared" si="7"/>
        <v>0.22083333333333344</v>
      </c>
    </row>
    <row r="56" spans="2:31" x14ac:dyDescent="0.25">
      <c r="B56" s="4"/>
      <c r="C56" s="1" t="s">
        <v>112</v>
      </c>
      <c r="D56" s="1" t="s">
        <v>76</v>
      </c>
      <c r="E56" s="3" t="s">
        <v>68</v>
      </c>
      <c r="F56" s="3"/>
      <c r="G56" s="24"/>
      <c r="H56" s="24"/>
      <c r="J56" s="1" t="s">
        <v>168</v>
      </c>
      <c r="K56" s="4"/>
      <c r="L56" s="4"/>
      <c r="M56" s="4"/>
      <c r="N56" s="4"/>
      <c r="O56" s="4"/>
      <c r="P56" s="33" t="s">
        <v>169</v>
      </c>
      <c r="Q56" s="25">
        <v>1639</v>
      </c>
      <c r="R56" s="25">
        <v>4</v>
      </c>
      <c r="S56" s="12">
        <f t="shared" si="25"/>
        <v>6556</v>
      </c>
      <c r="T56" s="5">
        <v>0</v>
      </c>
      <c r="U56" s="12">
        <f t="shared" si="26"/>
        <v>6556</v>
      </c>
      <c r="V56" s="25" t="s">
        <v>8</v>
      </c>
      <c r="W56" s="11">
        <f>IFERROR(VLOOKUP(V56,Curr!$B$2:$C$13,2,FALSE),0)</f>
        <v>1</v>
      </c>
      <c r="X56" s="12">
        <f t="shared" si="27"/>
        <v>6556</v>
      </c>
      <c r="Y56" s="26">
        <f>Q56/11/0.8</f>
        <v>186.25</v>
      </c>
      <c r="Z56" s="12">
        <f t="shared" si="4"/>
        <v>745</v>
      </c>
      <c r="AA56" s="4" t="s">
        <v>10</v>
      </c>
      <c r="AB56" s="11">
        <f>IFERROR(VLOOKUP(AA56,Curr!$B$2:$C$13,2,FALSE),0)</f>
        <v>10.8</v>
      </c>
      <c r="AC56" s="12">
        <f t="shared" si="5"/>
        <v>8046.0000000000009</v>
      </c>
      <c r="AD56" s="12">
        <f t="shared" si="6"/>
        <v>1490.0000000000009</v>
      </c>
      <c r="AE56" s="13">
        <f t="shared" si="7"/>
        <v>0.18518518518518529</v>
      </c>
    </row>
    <row r="57" spans="2:31" x14ac:dyDescent="0.25">
      <c r="B57" s="4"/>
      <c r="C57" s="1" t="s">
        <v>112</v>
      </c>
      <c r="D57" s="1" t="s">
        <v>74</v>
      </c>
      <c r="E57" s="3" t="s">
        <v>68</v>
      </c>
      <c r="F57" s="3" t="s">
        <v>120</v>
      </c>
      <c r="G57" s="24"/>
      <c r="H57" s="24"/>
      <c r="J57" s="1" t="s">
        <v>205</v>
      </c>
      <c r="K57" s="4"/>
      <c r="L57" s="4"/>
      <c r="M57" s="4"/>
      <c r="N57" s="4"/>
      <c r="O57" s="4"/>
      <c r="P57" s="33" t="s">
        <v>226</v>
      </c>
      <c r="Q57" s="25">
        <v>334</v>
      </c>
      <c r="R57" s="25">
        <v>1</v>
      </c>
      <c r="S57" s="12">
        <f t="shared" si="25"/>
        <v>334</v>
      </c>
      <c r="T57" s="5">
        <v>0</v>
      </c>
      <c r="U57" s="12">
        <f t="shared" si="26"/>
        <v>334</v>
      </c>
      <c r="V57" s="25" t="s">
        <v>10</v>
      </c>
      <c r="W57" s="11">
        <f>IFERROR(VLOOKUP(V57,Curr!$B$2:$C$13,2,FALSE),0)</f>
        <v>10.8</v>
      </c>
      <c r="X57" s="12">
        <f t="shared" si="27"/>
        <v>3607.2000000000003</v>
      </c>
      <c r="Y57" s="26">
        <f>Q57/0.8</f>
        <v>417.5</v>
      </c>
      <c r="Z57" s="12">
        <f t="shared" si="4"/>
        <v>417.5</v>
      </c>
      <c r="AA57" s="4" t="s">
        <v>10</v>
      </c>
      <c r="AB57" s="11">
        <f>IFERROR(VLOOKUP(AA57,Curr!$B$2:$C$13,2,FALSE),0)</f>
        <v>10.8</v>
      </c>
      <c r="AC57" s="12">
        <f t="shared" si="5"/>
        <v>4509</v>
      </c>
      <c r="AD57" s="12">
        <f t="shared" si="6"/>
        <v>901.79999999999973</v>
      </c>
      <c r="AE57" s="13">
        <f t="shared" si="7"/>
        <v>0.19999999999999993</v>
      </c>
    </row>
    <row r="58" spans="2:31" x14ac:dyDescent="0.25">
      <c r="B58" s="4"/>
      <c r="C58" s="1" t="s">
        <v>112</v>
      </c>
      <c r="D58" s="1" t="s">
        <v>75</v>
      </c>
      <c r="E58" s="3" t="s">
        <v>68</v>
      </c>
      <c r="F58" s="3"/>
      <c r="G58" s="24"/>
      <c r="H58" s="24"/>
      <c r="J58" s="1" t="s">
        <v>200</v>
      </c>
      <c r="K58" s="4"/>
      <c r="L58" s="4"/>
      <c r="M58" s="4"/>
      <c r="N58" s="4"/>
      <c r="O58" s="4"/>
      <c r="P58" s="33"/>
      <c r="Q58" s="25">
        <v>0</v>
      </c>
      <c r="R58" s="25">
        <v>0</v>
      </c>
      <c r="S58" s="12">
        <f t="shared" si="25"/>
        <v>0</v>
      </c>
      <c r="T58" s="5">
        <v>0</v>
      </c>
      <c r="U58" s="12">
        <f t="shared" si="26"/>
        <v>0</v>
      </c>
      <c r="V58" s="25" t="s">
        <v>10</v>
      </c>
      <c r="W58" s="11">
        <f>IFERROR(VLOOKUP(V58,Curr!$B$2:$C$13,2,FALSE),0)</f>
        <v>10.8</v>
      </c>
      <c r="X58" s="12">
        <f t="shared" si="27"/>
        <v>0</v>
      </c>
      <c r="Y58" s="26">
        <f t="shared" ref="Y58" si="31">Q58</f>
        <v>0</v>
      </c>
      <c r="Z58" s="12">
        <f t="shared" si="4"/>
        <v>0</v>
      </c>
      <c r="AA58" s="4" t="s">
        <v>10</v>
      </c>
      <c r="AB58" s="11">
        <f>IFERROR(VLOOKUP(AA58,Curr!$B$2:$C$13,2,FALSE),0)</f>
        <v>10.8</v>
      </c>
      <c r="AC58" s="12">
        <f t="shared" si="5"/>
        <v>0</v>
      </c>
      <c r="AD58" s="12">
        <f t="shared" si="6"/>
        <v>0</v>
      </c>
      <c r="AE58" s="13">
        <f t="shared" si="7"/>
        <v>0</v>
      </c>
    </row>
    <row r="59" spans="2:31" x14ac:dyDescent="0.25">
      <c r="B59" s="4"/>
      <c r="C59" s="1" t="s">
        <v>112</v>
      </c>
      <c r="D59" s="1" t="s">
        <v>50</v>
      </c>
      <c r="E59" s="3" t="s">
        <v>68</v>
      </c>
      <c r="F59" s="3" t="s">
        <v>120</v>
      </c>
      <c r="G59" s="24"/>
      <c r="H59" s="24"/>
      <c r="J59" s="1" t="s">
        <v>204</v>
      </c>
      <c r="K59" s="4"/>
      <c r="L59" s="4"/>
      <c r="M59" s="4"/>
      <c r="N59" s="4"/>
      <c r="O59" s="4"/>
      <c r="P59" s="33" t="s">
        <v>203</v>
      </c>
      <c r="Q59" s="25">
        <v>3072</v>
      </c>
      <c r="R59" s="25">
        <v>1</v>
      </c>
      <c r="S59" s="12">
        <f t="shared" si="25"/>
        <v>3072</v>
      </c>
      <c r="T59" s="5">
        <v>0</v>
      </c>
      <c r="U59" s="12">
        <f t="shared" si="26"/>
        <v>3072</v>
      </c>
      <c r="V59" s="25" t="s">
        <v>10</v>
      </c>
      <c r="W59" s="11">
        <f>IFERROR(VLOOKUP(V59,Curr!$B$2:$C$13,2,FALSE),0)</f>
        <v>10.8</v>
      </c>
      <c r="X59" s="12">
        <f t="shared" si="27"/>
        <v>33177.600000000006</v>
      </c>
      <c r="Y59" s="26">
        <f>Q59/0.8</f>
        <v>3840</v>
      </c>
      <c r="Z59" s="12">
        <f t="shared" si="4"/>
        <v>3840</v>
      </c>
      <c r="AA59" s="4" t="s">
        <v>10</v>
      </c>
      <c r="AB59" s="11">
        <f>IFERROR(VLOOKUP(AA59,Curr!$B$2:$C$13,2,FALSE),0)</f>
        <v>10.8</v>
      </c>
      <c r="AC59" s="12">
        <f t="shared" si="5"/>
        <v>41472</v>
      </c>
      <c r="AD59" s="12">
        <f t="shared" si="6"/>
        <v>8294.3999999999942</v>
      </c>
      <c r="AE59" s="13">
        <f t="shared" si="7"/>
        <v>0.19999999999999987</v>
      </c>
    </row>
    <row r="60" spans="2:31" x14ac:dyDescent="0.25">
      <c r="B60" s="4"/>
      <c r="C60" s="1" t="s">
        <v>112</v>
      </c>
      <c r="D60" s="1" t="s">
        <v>51</v>
      </c>
      <c r="E60" s="3" t="s">
        <v>68</v>
      </c>
      <c r="F60" s="3"/>
      <c r="G60" s="24"/>
      <c r="H60" s="24"/>
      <c r="J60" s="1" t="s">
        <v>114</v>
      </c>
      <c r="K60" s="4"/>
      <c r="L60" s="4"/>
      <c r="M60" s="4"/>
      <c r="N60" s="4"/>
      <c r="O60" s="4"/>
      <c r="P60" s="33"/>
      <c r="Q60" s="25">
        <v>0</v>
      </c>
      <c r="R60" s="25">
        <v>0</v>
      </c>
      <c r="S60" s="12">
        <f t="shared" si="25"/>
        <v>0</v>
      </c>
      <c r="T60" s="5">
        <v>0</v>
      </c>
      <c r="U60" s="12">
        <f t="shared" si="26"/>
        <v>0</v>
      </c>
      <c r="V60" s="25" t="s">
        <v>10</v>
      </c>
      <c r="W60" s="11">
        <f>IFERROR(VLOOKUP(V60,Curr!$B$2:$C$13,2,FALSE),0)</f>
        <v>10.8</v>
      </c>
      <c r="X60" s="12">
        <f t="shared" si="27"/>
        <v>0</v>
      </c>
      <c r="Y60" s="26">
        <f t="shared" ref="Y60" si="32">Q60</f>
        <v>0</v>
      </c>
      <c r="Z60" s="12">
        <f t="shared" si="4"/>
        <v>0</v>
      </c>
      <c r="AA60" s="4" t="s">
        <v>10</v>
      </c>
      <c r="AB60" s="11">
        <f>IFERROR(VLOOKUP(AA60,Curr!$B$2:$C$13,2,FALSE),0)</f>
        <v>10.8</v>
      </c>
      <c r="AC60" s="12">
        <f t="shared" si="5"/>
        <v>0</v>
      </c>
      <c r="AD60" s="12">
        <f t="shared" si="6"/>
        <v>0</v>
      </c>
      <c r="AE60" s="13">
        <f t="shared" si="7"/>
        <v>0</v>
      </c>
    </row>
    <row r="61" spans="2:31" x14ac:dyDescent="0.25">
      <c r="B61" s="4"/>
      <c r="E61" s="3"/>
      <c r="F61" s="3"/>
      <c r="G61" s="24"/>
      <c r="H61" s="24"/>
      <c r="K61" s="4"/>
      <c r="L61" s="4"/>
      <c r="M61" s="4"/>
      <c r="N61" s="4"/>
      <c r="O61" s="4"/>
      <c r="P61" s="33"/>
      <c r="Q61" s="25"/>
      <c r="R61" s="25"/>
      <c r="S61" s="12">
        <f t="shared" si="25"/>
        <v>0</v>
      </c>
      <c r="T61" s="5">
        <v>0</v>
      </c>
      <c r="U61" s="12">
        <f t="shared" si="26"/>
        <v>0</v>
      </c>
      <c r="V61" s="25" t="s">
        <v>10</v>
      </c>
      <c r="W61" s="11">
        <f>IFERROR(VLOOKUP(V61,Curr!$B$2:$C$13,2,FALSE),0)</f>
        <v>10.8</v>
      </c>
      <c r="X61" s="12">
        <f t="shared" si="27"/>
        <v>0</v>
      </c>
      <c r="Y61" s="26">
        <f t="shared" si="28"/>
        <v>0</v>
      </c>
      <c r="Z61" s="12">
        <f t="shared" si="4"/>
        <v>0</v>
      </c>
      <c r="AA61" s="4" t="s">
        <v>10</v>
      </c>
      <c r="AB61" s="11">
        <f>IFERROR(VLOOKUP(AA61,Curr!$B$2:$C$13,2,FALSE),0)</f>
        <v>10.8</v>
      </c>
      <c r="AC61" s="12">
        <f t="shared" si="5"/>
        <v>0</v>
      </c>
      <c r="AD61" s="12">
        <f t="shared" si="6"/>
        <v>0</v>
      </c>
      <c r="AE61" s="13">
        <f t="shared" si="7"/>
        <v>0</v>
      </c>
    </row>
    <row r="62" spans="2:31" x14ac:dyDescent="0.25">
      <c r="B62" s="4"/>
      <c r="C62" s="1" t="s">
        <v>113</v>
      </c>
      <c r="D62" s="1" t="s">
        <v>75</v>
      </c>
      <c r="E62" s="3" t="s">
        <v>54</v>
      </c>
      <c r="F62" s="3"/>
      <c r="G62" s="24"/>
      <c r="H62" s="24"/>
      <c r="J62" s="1" t="s">
        <v>209</v>
      </c>
      <c r="K62" s="4"/>
      <c r="L62" s="4"/>
      <c r="M62" s="4"/>
      <c r="N62" s="4"/>
      <c r="O62" s="4"/>
      <c r="P62" s="33" t="s">
        <v>211</v>
      </c>
      <c r="Q62" s="25">
        <v>1680</v>
      </c>
      <c r="R62" s="25">
        <v>1</v>
      </c>
      <c r="S62" s="12">
        <f t="shared" si="25"/>
        <v>1680</v>
      </c>
      <c r="T62" s="5">
        <v>0.12</v>
      </c>
      <c r="U62" s="12">
        <f t="shared" si="26"/>
        <v>1478.4</v>
      </c>
      <c r="V62" s="25" t="s">
        <v>8</v>
      </c>
      <c r="W62" s="11">
        <f>IFERROR(VLOOKUP(V62,Curr!$B$2:$C$13,2,FALSE),0)</f>
        <v>1</v>
      </c>
      <c r="X62" s="12">
        <f t="shared" si="27"/>
        <v>1478.4</v>
      </c>
      <c r="Y62" s="26">
        <f>Q62/11/0.8</f>
        <v>190.90909090909088</v>
      </c>
      <c r="Z62" s="12">
        <f t="shared" si="4"/>
        <v>190.90909090909088</v>
      </c>
      <c r="AA62" s="4" t="s">
        <v>10</v>
      </c>
      <c r="AB62" s="11">
        <f>IFERROR(VLOOKUP(AA62,Curr!$B$2:$C$13,2,FALSE),0)</f>
        <v>10.8</v>
      </c>
      <c r="AC62" s="12">
        <f t="shared" si="5"/>
        <v>2061.8181818181815</v>
      </c>
      <c r="AD62" s="12">
        <f t="shared" si="6"/>
        <v>583.41818181818144</v>
      </c>
      <c r="AE62" s="13">
        <f t="shared" si="7"/>
        <v>0.28296296296296281</v>
      </c>
    </row>
    <row r="63" spans="2:31" x14ac:dyDescent="0.25">
      <c r="B63" s="4"/>
      <c r="C63" s="1" t="s">
        <v>113</v>
      </c>
      <c r="D63" s="1" t="s">
        <v>51</v>
      </c>
      <c r="E63" s="3" t="s">
        <v>54</v>
      </c>
      <c r="F63" s="3"/>
      <c r="G63" s="24"/>
      <c r="H63" s="24"/>
      <c r="J63" s="1" t="s">
        <v>114</v>
      </c>
      <c r="K63" s="4"/>
      <c r="L63" s="4"/>
      <c r="M63" s="4"/>
      <c r="N63" s="4"/>
      <c r="O63" s="4"/>
      <c r="P63" s="33"/>
      <c r="Q63" s="25">
        <v>0</v>
      </c>
      <c r="R63" s="25">
        <v>0</v>
      </c>
      <c r="S63" s="12">
        <f t="shared" si="25"/>
        <v>0</v>
      </c>
      <c r="T63" s="5">
        <v>0</v>
      </c>
      <c r="U63" s="12">
        <f t="shared" si="26"/>
        <v>0</v>
      </c>
      <c r="V63" s="25" t="s">
        <v>10</v>
      </c>
      <c r="W63" s="11">
        <f>IFERROR(VLOOKUP(V63,Curr!$B$2:$C$13,2,FALSE),0)</f>
        <v>10.8</v>
      </c>
      <c r="X63" s="12">
        <f t="shared" si="27"/>
        <v>0</v>
      </c>
      <c r="Y63" s="26">
        <f t="shared" si="28"/>
        <v>0</v>
      </c>
      <c r="Z63" s="12">
        <f t="shared" si="4"/>
        <v>0</v>
      </c>
      <c r="AA63" s="4" t="s">
        <v>10</v>
      </c>
      <c r="AB63" s="11">
        <f>IFERROR(VLOOKUP(AA63,Curr!$B$2:$C$13,2,FALSE),0)</f>
        <v>10.8</v>
      </c>
      <c r="AC63" s="12">
        <f t="shared" si="5"/>
        <v>0</v>
      </c>
      <c r="AD63" s="12">
        <f t="shared" si="6"/>
        <v>0</v>
      </c>
      <c r="AE63" s="13">
        <f t="shared" si="7"/>
        <v>0</v>
      </c>
    </row>
    <row r="64" spans="2:31" x14ac:dyDescent="0.25">
      <c r="B64" s="4"/>
      <c r="E64" s="3"/>
      <c r="F64" s="3"/>
      <c r="G64" s="24"/>
      <c r="H64" s="24"/>
      <c r="K64" s="4"/>
      <c r="L64" s="4"/>
      <c r="M64" s="4"/>
      <c r="N64" s="4"/>
      <c r="O64" s="4"/>
      <c r="P64" s="27"/>
      <c r="Q64" s="25"/>
      <c r="R64" s="25"/>
      <c r="S64" s="12">
        <f t="shared" si="25"/>
        <v>0</v>
      </c>
      <c r="T64" s="5">
        <v>0</v>
      </c>
      <c r="U64" s="12">
        <f t="shared" si="26"/>
        <v>0</v>
      </c>
      <c r="V64" s="25" t="s">
        <v>10</v>
      </c>
      <c r="W64" s="11">
        <f>IFERROR(VLOOKUP(V64,Curr!$B$2:$C$13,2,FALSE),0)</f>
        <v>10.8</v>
      </c>
      <c r="X64" s="12">
        <f t="shared" si="27"/>
        <v>0</v>
      </c>
      <c r="Y64" s="26">
        <f t="shared" si="28"/>
        <v>0</v>
      </c>
      <c r="Z64" s="12">
        <f t="shared" si="4"/>
        <v>0</v>
      </c>
      <c r="AA64" s="4" t="s">
        <v>10</v>
      </c>
      <c r="AB64" s="11">
        <f>IFERROR(VLOOKUP(AA64,Curr!$B$2:$C$13,2,FALSE),0)</f>
        <v>10.8</v>
      </c>
      <c r="AC64" s="12">
        <f t="shared" si="5"/>
        <v>0</v>
      </c>
      <c r="AD64" s="12">
        <f t="shared" si="6"/>
        <v>0</v>
      </c>
      <c r="AE64" s="13">
        <f t="shared" si="7"/>
        <v>0</v>
      </c>
    </row>
    <row r="65" spans="2:31" x14ac:dyDescent="0.25">
      <c r="B65" s="4"/>
      <c r="C65" s="1" t="s">
        <v>117</v>
      </c>
      <c r="D65" s="1" t="s">
        <v>75</v>
      </c>
      <c r="E65" s="3" t="s">
        <v>118</v>
      </c>
      <c r="F65" s="3"/>
      <c r="G65" s="24"/>
      <c r="H65" s="24"/>
      <c r="J65" s="1" t="s">
        <v>210</v>
      </c>
      <c r="K65" s="4"/>
      <c r="L65" s="4"/>
      <c r="M65" s="4"/>
      <c r="N65" s="4"/>
      <c r="O65" s="4"/>
      <c r="P65" s="33"/>
      <c r="Q65" s="25">
        <v>0</v>
      </c>
      <c r="R65" s="25">
        <v>0</v>
      </c>
      <c r="S65" s="12">
        <f t="shared" si="25"/>
        <v>0</v>
      </c>
      <c r="T65" s="5">
        <v>0</v>
      </c>
      <c r="U65" s="12">
        <f t="shared" si="26"/>
        <v>0</v>
      </c>
      <c r="V65" s="25" t="s">
        <v>10</v>
      </c>
      <c r="W65" s="11">
        <f>IFERROR(VLOOKUP(V65,Curr!$B$2:$C$13,2,FALSE),0)</f>
        <v>10.8</v>
      </c>
      <c r="X65" s="12">
        <f t="shared" si="27"/>
        <v>0</v>
      </c>
      <c r="Y65" s="26">
        <f t="shared" si="28"/>
        <v>0</v>
      </c>
      <c r="Z65" s="12">
        <f t="shared" si="4"/>
        <v>0</v>
      </c>
      <c r="AA65" s="4" t="s">
        <v>10</v>
      </c>
      <c r="AB65" s="11">
        <f>IFERROR(VLOOKUP(AA65,Curr!$B$2:$C$13,2,FALSE),0)</f>
        <v>10.8</v>
      </c>
      <c r="AC65" s="12">
        <f t="shared" si="5"/>
        <v>0</v>
      </c>
      <c r="AD65" s="12">
        <f t="shared" si="6"/>
        <v>0</v>
      </c>
      <c r="AE65" s="13">
        <f t="shared" si="7"/>
        <v>0</v>
      </c>
    </row>
    <row r="66" spans="2:31" x14ac:dyDescent="0.25">
      <c r="B66" s="4"/>
      <c r="C66" s="1" t="s">
        <v>117</v>
      </c>
      <c r="D66" s="1" t="s">
        <v>51</v>
      </c>
      <c r="E66" s="3" t="s">
        <v>118</v>
      </c>
      <c r="F66" s="3"/>
      <c r="G66" s="24"/>
      <c r="H66" s="24"/>
      <c r="J66" s="1" t="s">
        <v>114</v>
      </c>
      <c r="K66" s="4"/>
      <c r="L66" s="4"/>
      <c r="M66" s="4"/>
      <c r="N66" s="4"/>
      <c r="O66" s="4"/>
      <c r="P66" s="33"/>
      <c r="Q66" s="25">
        <v>0</v>
      </c>
      <c r="R66" s="25">
        <v>0</v>
      </c>
      <c r="S66" s="12">
        <f t="shared" si="25"/>
        <v>0</v>
      </c>
      <c r="T66" s="5">
        <v>0</v>
      </c>
      <c r="U66" s="12">
        <f t="shared" si="26"/>
        <v>0</v>
      </c>
      <c r="V66" s="25" t="s">
        <v>10</v>
      </c>
      <c r="W66" s="11">
        <f>IFERROR(VLOOKUP(V66,Curr!$B$2:$C$13,2,FALSE),0)</f>
        <v>10.8</v>
      </c>
      <c r="X66" s="12">
        <f t="shared" si="27"/>
        <v>0</v>
      </c>
      <c r="Y66" s="26">
        <f t="shared" si="28"/>
        <v>0</v>
      </c>
      <c r="Z66" s="12">
        <f t="shared" si="4"/>
        <v>0</v>
      </c>
      <c r="AA66" s="4" t="s">
        <v>10</v>
      </c>
      <c r="AB66" s="11">
        <f>IFERROR(VLOOKUP(AA66,Curr!$B$2:$C$13,2,FALSE),0)</f>
        <v>10.8</v>
      </c>
      <c r="AC66" s="12">
        <f t="shared" si="5"/>
        <v>0</v>
      </c>
      <c r="AD66" s="12">
        <f t="shared" si="6"/>
        <v>0</v>
      </c>
      <c r="AE66" s="13">
        <f t="shared" si="7"/>
        <v>0</v>
      </c>
    </row>
    <row r="67" spans="2:31" x14ac:dyDescent="0.25">
      <c r="B67" s="4"/>
      <c r="E67" s="3"/>
      <c r="F67" s="3"/>
      <c r="G67" s="24"/>
      <c r="H67" s="24"/>
      <c r="K67" s="4"/>
      <c r="L67" s="4"/>
      <c r="M67" s="4"/>
      <c r="N67" s="4"/>
      <c r="O67" s="4"/>
      <c r="P67" s="27"/>
      <c r="Q67" s="25"/>
      <c r="R67" s="25"/>
      <c r="S67" s="12">
        <f t="shared" si="25"/>
        <v>0</v>
      </c>
      <c r="T67" s="5">
        <v>0</v>
      </c>
      <c r="U67" s="12">
        <f t="shared" si="26"/>
        <v>0</v>
      </c>
      <c r="V67" s="25" t="s">
        <v>10</v>
      </c>
      <c r="W67" s="11">
        <f>IFERROR(VLOOKUP(V67,Curr!$B$2:$C$13,2,FALSE),0)</f>
        <v>10.8</v>
      </c>
      <c r="X67" s="12">
        <f t="shared" si="27"/>
        <v>0</v>
      </c>
      <c r="Y67" s="26">
        <f t="shared" si="28"/>
        <v>0</v>
      </c>
      <c r="Z67" s="12">
        <f t="shared" si="4"/>
        <v>0</v>
      </c>
      <c r="AA67" s="4" t="s">
        <v>10</v>
      </c>
      <c r="AB67" s="11">
        <f>IFERROR(VLOOKUP(AA67,Curr!$B$2:$C$13,2,FALSE),0)</f>
        <v>10.8</v>
      </c>
      <c r="AC67" s="12">
        <f t="shared" si="5"/>
        <v>0</v>
      </c>
      <c r="AD67" s="12">
        <f t="shared" si="6"/>
        <v>0</v>
      </c>
      <c r="AE67" s="13">
        <f t="shared" si="7"/>
        <v>0</v>
      </c>
    </row>
    <row r="68" spans="2:31" x14ac:dyDescent="0.25">
      <c r="B68" s="4"/>
      <c r="C68" s="1" t="s">
        <v>119</v>
      </c>
      <c r="D68" s="1" t="s">
        <v>75</v>
      </c>
      <c r="E68" s="3" t="s">
        <v>120</v>
      </c>
      <c r="F68" s="3"/>
      <c r="G68" s="24"/>
      <c r="H68" s="24"/>
      <c r="J68" s="1" t="s">
        <v>201</v>
      </c>
      <c r="K68" s="4"/>
      <c r="L68" s="4"/>
      <c r="M68" s="4"/>
      <c r="N68" s="4"/>
      <c r="O68" s="4"/>
      <c r="P68" s="33"/>
      <c r="Q68" s="25">
        <v>0</v>
      </c>
      <c r="R68" s="25">
        <v>0</v>
      </c>
      <c r="S68" s="12">
        <f t="shared" si="25"/>
        <v>0</v>
      </c>
      <c r="T68" s="5">
        <v>0</v>
      </c>
      <c r="U68" s="12">
        <f t="shared" si="26"/>
        <v>0</v>
      </c>
      <c r="V68" s="25" t="s">
        <v>10</v>
      </c>
      <c r="W68" s="11">
        <f>IFERROR(VLOOKUP(V68,Curr!$B$2:$C$13,2,FALSE),0)</f>
        <v>10.8</v>
      </c>
      <c r="X68" s="12">
        <f t="shared" si="27"/>
        <v>0</v>
      </c>
      <c r="Y68" s="26">
        <f t="shared" si="28"/>
        <v>0</v>
      </c>
      <c r="Z68" s="12">
        <f t="shared" si="4"/>
        <v>0</v>
      </c>
      <c r="AA68" s="4" t="s">
        <v>10</v>
      </c>
      <c r="AB68" s="11">
        <f>IFERROR(VLOOKUP(AA68,Curr!$B$2:$C$13,2,FALSE),0)</f>
        <v>10.8</v>
      </c>
      <c r="AC68" s="12">
        <f t="shared" si="5"/>
        <v>0</v>
      </c>
      <c r="AD68" s="12">
        <f t="shared" si="6"/>
        <v>0</v>
      </c>
      <c r="AE68" s="13">
        <f t="shared" si="7"/>
        <v>0</v>
      </c>
    </row>
    <row r="69" spans="2:31" x14ac:dyDescent="0.25">
      <c r="B69" s="4"/>
      <c r="C69" s="1" t="s">
        <v>119</v>
      </c>
      <c r="D69" s="1" t="s">
        <v>74</v>
      </c>
      <c r="E69" s="3" t="s">
        <v>120</v>
      </c>
      <c r="F69" s="3"/>
      <c r="G69" s="24"/>
      <c r="H69" s="24"/>
      <c r="J69" s="1" t="s">
        <v>202</v>
      </c>
      <c r="K69" s="4"/>
      <c r="L69" s="4"/>
      <c r="M69" s="4"/>
      <c r="N69" s="4"/>
      <c r="O69" s="4"/>
      <c r="P69" s="33"/>
      <c r="Q69" s="25">
        <v>0</v>
      </c>
      <c r="R69" s="25">
        <v>0</v>
      </c>
      <c r="S69" s="12">
        <f t="shared" si="25"/>
        <v>0</v>
      </c>
      <c r="T69" s="5">
        <v>0</v>
      </c>
      <c r="U69" s="12">
        <f t="shared" si="26"/>
        <v>0</v>
      </c>
      <c r="V69" s="25" t="s">
        <v>10</v>
      </c>
      <c r="W69" s="11">
        <f>IFERROR(VLOOKUP(V69,Curr!$B$2:$C$13,2,FALSE),0)</f>
        <v>10.8</v>
      </c>
      <c r="X69" s="12">
        <f t="shared" si="27"/>
        <v>0</v>
      </c>
      <c r="Y69" s="26">
        <f t="shared" si="28"/>
        <v>0</v>
      </c>
      <c r="Z69" s="12">
        <f t="shared" si="4"/>
        <v>0</v>
      </c>
      <c r="AA69" s="4" t="s">
        <v>10</v>
      </c>
      <c r="AB69" s="11">
        <f>IFERROR(VLOOKUP(AA69,Curr!$B$2:$C$13,2,FALSE),0)</f>
        <v>10.8</v>
      </c>
      <c r="AC69" s="12">
        <f t="shared" si="5"/>
        <v>0</v>
      </c>
      <c r="AD69" s="12">
        <f t="shared" si="6"/>
        <v>0</v>
      </c>
      <c r="AE69" s="13">
        <f t="shared" si="7"/>
        <v>0</v>
      </c>
    </row>
    <row r="70" spans="2:31" x14ac:dyDescent="0.25">
      <c r="B70" s="4"/>
      <c r="C70" s="1" t="s">
        <v>119</v>
      </c>
      <c r="D70" s="1" t="s">
        <v>76</v>
      </c>
      <c r="E70" s="3" t="s">
        <v>120</v>
      </c>
      <c r="F70" s="3"/>
      <c r="G70" s="24"/>
      <c r="H70" s="24"/>
      <c r="J70" s="1" t="s">
        <v>173</v>
      </c>
      <c r="K70" s="4"/>
      <c r="L70" s="4"/>
      <c r="M70" s="4"/>
      <c r="N70" s="4"/>
      <c r="O70" s="4"/>
      <c r="P70" s="29" t="s">
        <v>206</v>
      </c>
      <c r="Q70" s="25">
        <v>1900</v>
      </c>
      <c r="R70" s="25">
        <v>4</v>
      </c>
      <c r="S70" s="12">
        <f t="shared" si="25"/>
        <v>7600</v>
      </c>
      <c r="T70" s="5">
        <v>0</v>
      </c>
      <c r="U70" s="12">
        <f t="shared" si="26"/>
        <v>7600</v>
      </c>
      <c r="V70" s="25" t="s">
        <v>8</v>
      </c>
      <c r="W70" s="11">
        <f>IFERROR(VLOOKUP(V70,Curr!$B$2:$C$13,2,FALSE),0)</f>
        <v>1</v>
      </c>
      <c r="X70" s="12">
        <f t="shared" si="27"/>
        <v>7600</v>
      </c>
      <c r="Y70" s="26">
        <f>Q70/11/0.75</f>
        <v>230.30303030303028</v>
      </c>
      <c r="Z70" s="12">
        <f t="shared" si="4"/>
        <v>921.21212121212113</v>
      </c>
      <c r="AA70" s="4" t="s">
        <v>10</v>
      </c>
      <c r="AB70" s="11">
        <f>IFERROR(VLOOKUP(AA70,Curr!$B$2:$C$13,2,FALSE),0)</f>
        <v>10.8</v>
      </c>
      <c r="AC70" s="12">
        <f t="shared" si="5"/>
        <v>9949.0909090909081</v>
      </c>
      <c r="AD70" s="12">
        <f t="shared" si="6"/>
        <v>2349.0909090909081</v>
      </c>
      <c r="AE70" s="13">
        <f t="shared" si="7"/>
        <v>0.23611111111111102</v>
      </c>
    </row>
    <row r="71" spans="2:31" x14ac:dyDescent="0.25">
      <c r="B71" s="4"/>
      <c r="C71" s="1" t="s">
        <v>119</v>
      </c>
      <c r="D71" s="1" t="s">
        <v>49</v>
      </c>
      <c r="E71" s="3" t="s">
        <v>120</v>
      </c>
      <c r="F71" s="3"/>
      <c r="G71" s="24"/>
      <c r="H71" s="24"/>
      <c r="J71" s="1" t="s">
        <v>174</v>
      </c>
      <c r="K71" s="4"/>
      <c r="L71" s="4"/>
      <c r="M71" s="4"/>
      <c r="N71" s="4"/>
      <c r="O71" s="4"/>
      <c r="P71" s="33"/>
      <c r="Q71" s="25">
        <v>0</v>
      </c>
      <c r="R71" s="25">
        <v>0</v>
      </c>
      <c r="S71" s="12">
        <f t="shared" ref="S71:S83" si="33">+Q71*R71</f>
        <v>0</v>
      </c>
      <c r="T71" s="5">
        <v>0</v>
      </c>
      <c r="U71" s="12">
        <f t="shared" ref="U71:U83" si="34">S71*(1-T71)</f>
        <v>0</v>
      </c>
      <c r="V71" s="25" t="s">
        <v>10</v>
      </c>
      <c r="W71" s="11">
        <f>IFERROR(VLOOKUP(V71,Curr!$B$2:$C$13,2,FALSE),0)</f>
        <v>10.8</v>
      </c>
      <c r="X71" s="12">
        <f t="shared" ref="X71:X83" si="35">U71*W71</f>
        <v>0</v>
      </c>
      <c r="Y71" s="26">
        <f t="shared" ref="Y71:Y83" si="36">Q71</f>
        <v>0</v>
      </c>
      <c r="Z71" s="12">
        <f t="shared" ref="Z71:Z83" si="37">+Y71*R71</f>
        <v>0</v>
      </c>
      <c r="AA71" s="4" t="s">
        <v>10</v>
      </c>
      <c r="AB71" s="11">
        <f>IFERROR(VLOOKUP(AA71,Curr!$B$2:$C$13,2,FALSE),0)</f>
        <v>10.8</v>
      </c>
      <c r="AC71" s="12">
        <f t="shared" ref="AC71:AC83" si="38">+Y71*AB71*R71</f>
        <v>0</v>
      </c>
      <c r="AD71" s="12">
        <f t="shared" ref="AD71:AD83" si="39">+AC71-X71</f>
        <v>0</v>
      </c>
      <c r="AE71" s="13">
        <f t="shared" ref="AE71:AE83" si="40">IFERROR(AD71/AC71,0)</f>
        <v>0</v>
      </c>
    </row>
    <row r="72" spans="2:31" x14ac:dyDescent="0.25">
      <c r="B72" s="4"/>
      <c r="C72" s="1" t="s">
        <v>119</v>
      </c>
      <c r="D72" s="1" t="s">
        <v>50</v>
      </c>
      <c r="E72" s="3" t="s">
        <v>120</v>
      </c>
      <c r="F72" s="3" t="s">
        <v>78</v>
      </c>
      <c r="G72" s="24"/>
      <c r="H72" s="24"/>
      <c r="J72" s="1" t="s">
        <v>207</v>
      </c>
      <c r="K72" s="4"/>
      <c r="L72" s="4"/>
      <c r="M72" s="4"/>
      <c r="N72" s="4"/>
      <c r="O72" s="4"/>
      <c r="P72" s="33" t="s">
        <v>179</v>
      </c>
      <c r="Q72" s="25">
        <v>197</v>
      </c>
      <c r="R72" s="25">
        <v>1</v>
      </c>
      <c r="S72" s="12">
        <f t="shared" si="33"/>
        <v>197</v>
      </c>
      <c r="T72" s="5">
        <v>0</v>
      </c>
      <c r="U72" s="12">
        <f t="shared" si="34"/>
        <v>197</v>
      </c>
      <c r="V72" s="25" t="s">
        <v>10</v>
      </c>
      <c r="W72" s="11">
        <f>IFERROR(VLOOKUP(V72,Curr!$B$2:$C$13,2,FALSE),0)</f>
        <v>10.8</v>
      </c>
      <c r="X72" s="12">
        <f t="shared" si="35"/>
        <v>2127.6000000000004</v>
      </c>
      <c r="Y72" s="26">
        <f>Q72/0.75</f>
        <v>262.66666666666669</v>
      </c>
      <c r="Z72" s="12">
        <f t="shared" si="37"/>
        <v>262.66666666666669</v>
      </c>
      <c r="AA72" s="4" t="s">
        <v>10</v>
      </c>
      <c r="AB72" s="11">
        <f>IFERROR(VLOOKUP(AA72,Curr!$B$2:$C$13,2,FALSE),0)</f>
        <v>10.8</v>
      </c>
      <c r="AC72" s="12">
        <f t="shared" si="38"/>
        <v>2836.8</v>
      </c>
      <c r="AD72" s="12">
        <f t="shared" si="39"/>
        <v>709.19999999999982</v>
      </c>
      <c r="AE72" s="13">
        <f t="shared" si="40"/>
        <v>0.24999999999999992</v>
      </c>
    </row>
    <row r="73" spans="2:31" x14ac:dyDescent="0.25">
      <c r="B73" s="4"/>
      <c r="C73" s="1" t="s">
        <v>119</v>
      </c>
      <c r="D73" s="1" t="s">
        <v>51</v>
      </c>
      <c r="E73" s="3" t="s">
        <v>120</v>
      </c>
      <c r="F73" s="3"/>
      <c r="G73" s="24"/>
      <c r="H73" s="24"/>
      <c r="J73" s="1" t="s">
        <v>102</v>
      </c>
      <c r="K73" s="4"/>
      <c r="L73" s="4"/>
      <c r="M73" s="4"/>
      <c r="N73" s="4"/>
      <c r="O73" s="4"/>
      <c r="P73" s="33"/>
      <c r="Q73" s="25">
        <v>0</v>
      </c>
      <c r="R73" s="25">
        <v>0</v>
      </c>
      <c r="S73" s="12">
        <f t="shared" si="33"/>
        <v>0</v>
      </c>
      <c r="T73" s="5">
        <v>0</v>
      </c>
      <c r="U73" s="12">
        <f t="shared" si="34"/>
        <v>0</v>
      </c>
      <c r="V73" s="25" t="s">
        <v>10</v>
      </c>
      <c r="W73" s="11">
        <f>IFERROR(VLOOKUP(V73,Curr!$B$2:$C$13,2,FALSE),0)</f>
        <v>10.8</v>
      </c>
      <c r="X73" s="12">
        <f t="shared" si="35"/>
        <v>0</v>
      </c>
      <c r="Y73" s="26">
        <f t="shared" si="36"/>
        <v>0</v>
      </c>
      <c r="Z73" s="12">
        <f t="shared" si="37"/>
        <v>0</v>
      </c>
      <c r="AA73" s="4" t="s">
        <v>10</v>
      </c>
      <c r="AB73" s="11">
        <f>IFERROR(VLOOKUP(AA73,Curr!$B$2:$C$13,2,FALSE),0)</f>
        <v>10.8</v>
      </c>
      <c r="AC73" s="12">
        <f t="shared" si="38"/>
        <v>0</v>
      </c>
      <c r="AD73" s="12">
        <f t="shared" si="39"/>
        <v>0</v>
      </c>
      <c r="AE73" s="13">
        <f t="shared" si="40"/>
        <v>0</v>
      </c>
    </row>
    <row r="74" spans="2:31" x14ac:dyDescent="0.25">
      <c r="B74" s="4"/>
      <c r="E74" s="3"/>
      <c r="F74" s="3"/>
      <c r="G74" s="24"/>
      <c r="H74" s="24"/>
      <c r="K74" s="4"/>
      <c r="L74" s="4"/>
      <c r="M74" s="4"/>
      <c r="N74" s="4"/>
      <c r="O74" s="4"/>
      <c r="P74" s="27"/>
      <c r="Q74" s="25"/>
      <c r="R74" s="25"/>
      <c r="S74" s="12">
        <f t="shared" si="33"/>
        <v>0</v>
      </c>
      <c r="T74" s="5">
        <v>0</v>
      </c>
      <c r="U74" s="12">
        <f t="shared" si="34"/>
        <v>0</v>
      </c>
      <c r="V74" s="25" t="s">
        <v>10</v>
      </c>
      <c r="W74" s="11">
        <f>IFERROR(VLOOKUP(V74,Curr!$B$2:$C$13,2,FALSE),0)</f>
        <v>10.8</v>
      </c>
      <c r="X74" s="12">
        <f t="shared" si="35"/>
        <v>0</v>
      </c>
      <c r="Y74" s="26">
        <f t="shared" si="36"/>
        <v>0</v>
      </c>
      <c r="Z74" s="12">
        <f t="shared" si="37"/>
        <v>0</v>
      </c>
      <c r="AA74" s="4" t="s">
        <v>10</v>
      </c>
      <c r="AB74" s="11">
        <f>IFERROR(VLOOKUP(AA74,Curr!$B$2:$C$13,2,FALSE),0)</f>
        <v>10.8</v>
      </c>
      <c r="AC74" s="12">
        <f t="shared" si="38"/>
        <v>0</v>
      </c>
      <c r="AD74" s="12">
        <f t="shared" si="39"/>
        <v>0</v>
      </c>
      <c r="AE74" s="13">
        <f t="shared" si="40"/>
        <v>0</v>
      </c>
    </row>
    <row r="75" spans="2:31" x14ac:dyDescent="0.25">
      <c r="B75" s="4"/>
      <c r="C75" s="1" t="s">
        <v>121</v>
      </c>
      <c r="D75" s="1" t="s">
        <v>49</v>
      </c>
      <c r="E75" s="3" t="s">
        <v>78</v>
      </c>
      <c r="F75" s="3"/>
      <c r="G75" s="24"/>
      <c r="H75" s="24"/>
      <c r="J75" s="1" t="s">
        <v>175</v>
      </c>
      <c r="K75" s="4"/>
      <c r="L75" s="4"/>
      <c r="M75" s="4"/>
      <c r="N75" s="4"/>
      <c r="O75" s="4"/>
      <c r="P75" s="27"/>
      <c r="Q75" s="25">
        <v>0</v>
      </c>
      <c r="R75" s="25">
        <v>0</v>
      </c>
      <c r="S75" s="12">
        <f t="shared" si="33"/>
        <v>0</v>
      </c>
      <c r="T75" s="5">
        <v>0</v>
      </c>
      <c r="U75" s="12">
        <f t="shared" si="34"/>
        <v>0</v>
      </c>
      <c r="V75" s="25" t="s">
        <v>10</v>
      </c>
      <c r="W75" s="11">
        <f>IFERROR(VLOOKUP(V75,Curr!$B$2:$C$13,2,FALSE),0)</f>
        <v>10.8</v>
      </c>
      <c r="X75" s="12">
        <f t="shared" si="35"/>
        <v>0</v>
      </c>
      <c r="Y75" s="26">
        <f t="shared" si="36"/>
        <v>0</v>
      </c>
      <c r="Z75" s="12">
        <f t="shared" si="37"/>
        <v>0</v>
      </c>
      <c r="AA75" s="4" t="s">
        <v>10</v>
      </c>
      <c r="AB75" s="11">
        <f>IFERROR(VLOOKUP(AA75,Curr!$B$2:$C$13,2,FALSE),0)</f>
        <v>10.8</v>
      </c>
      <c r="AC75" s="12">
        <f t="shared" si="38"/>
        <v>0</v>
      </c>
      <c r="AD75" s="12">
        <f t="shared" si="39"/>
        <v>0</v>
      </c>
      <c r="AE75" s="13">
        <f t="shared" si="40"/>
        <v>0</v>
      </c>
    </row>
    <row r="76" spans="2:31" x14ac:dyDescent="0.25">
      <c r="B76" s="4"/>
      <c r="C76" s="1" t="s">
        <v>121</v>
      </c>
      <c r="D76" s="1" t="s">
        <v>67</v>
      </c>
      <c r="E76" s="3" t="s">
        <v>78</v>
      </c>
      <c r="F76" s="3"/>
      <c r="G76" s="24"/>
      <c r="H76" s="24"/>
      <c r="J76" s="1" t="s">
        <v>122</v>
      </c>
      <c r="K76" s="4"/>
      <c r="L76" s="4"/>
      <c r="M76" s="4"/>
      <c r="N76" s="4"/>
      <c r="O76" s="4"/>
      <c r="P76" s="27"/>
      <c r="Q76" s="25">
        <v>0</v>
      </c>
      <c r="R76" s="25">
        <v>0</v>
      </c>
      <c r="S76" s="12">
        <f t="shared" si="33"/>
        <v>0</v>
      </c>
      <c r="T76" s="5">
        <v>0</v>
      </c>
      <c r="U76" s="12">
        <f t="shared" si="34"/>
        <v>0</v>
      </c>
      <c r="V76" s="25" t="s">
        <v>10</v>
      </c>
      <c r="W76" s="11">
        <f>IFERROR(VLOOKUP(V76,Curr!$B$2:$C$13,2,FALSE),0)</f>
        <v>10.8</v>
      </c>
      <c r="X76" s="12">
        <f t="shared" si="35"/>
        <v>0</v>
      </c>
      <c r="Y76" s="26">
        <f t="shared" si="36"/>
        <v>0</v>
      </c>
      <c r="Z76" s="12">
        <f t="shared" si="37"/>
        <v>0</v>
      </c>
      <c r="AA76" s="4" t="s">
        <v>10</v>
      </c>
      <c r="AB76" s="11">
        <f>IFERROR(VLOOKUP(AA76,Curr!$B$2:$C$13,2,FALSE),0)</f>
        <v>10.8</v>
      </c>
      <c r="AC76" s="12">
        <f t="shared" si="38"/>
        <v>0</v>
      </c>
      <c r="AD76" s="12">
        <f t="shared" si="39"/>
        <v>0</v>
      </c>
      <c r="AE76" s="13">
        <f t="shared" si="40"/>
        <v>0</v>
      </c>
    </row>
    <row r="77" spans="2:31" x14ac:dyDescent="0.25">
      <c r="B77" s="4"/>
      <c r="E77" s="3"/>
      <c r="F77" s="3"/>
      <c r="G77" s="24"/>
      <c r="H77" s="24"/>
      <c r="K77" s="4"/>
      <c r="L77" s="4"/>
      <c r="M77" s="4"/>
      <c r="N77" s="4"/>
      <c r="O77" s="4"/>
      <c r="P77" s="27"/>
      <c r="Q77" s="25"/>
      <c r="R77" s="25"/>
      <c r="S77" s="12">
        <f t="shared" si="33"/>
        <v>0</v>
      </c>
      <c r="T77" s="5">
        <v>0</v>
      </c>
      <c r="U77" s="12">
        <f t="shared" si="34"/>
        <v>0</v>
      </c>
      <c r="V77" s="25" t="s">
        <v>10</v>
      </c>
      <c r="W77" s="11">
        <f>IFERROR(VLOOKUP(V77,Curr!$B$2:$C$13,2,FALSE),0)</f>
        <v>10.8</v>
      </c>
      <c r="X77" s="12">
        <f t="shared" si="35"/>
        <v>0</v>
      </c>
      <c r="Y77" s="26">
        <f t="shared" si="36"/>
        <v>0</v>
      </c>
      <c r="Z77" s="12">
        <f t="shared" si="37"/>
        <v>0</v>
      </c>
      <c r="AA77" s="4" t="s">
        <v>10</v>
      </c>
      <c r="AB77" s="11">
        <f>IFERROR(VLOOKUP(AA77,Curr!$B$2:$C$13,2,FALSE),0)</f>
        <v>10.8</v>
      </c>
      <c r="AC77" s="12">
        <f t="shared" si="38"/>
        <v>0</v>
      </c>
      <c r="AD77" s="12">
        <f t="shared" si="39"/>
        <v>0</v>
      </c>
      <c r="AE77" s="13">
        <f t="shared" si="40"/>
        <v>0</v>
      </c>
    </row>
    <row r="78" spans="2:31" x14ac:dyDescent="0.25">
      <c r="B78" s="4"/>
      <c r="E78" s="3"/>
      <c r="F78" s="3"/>
      <c r="G78" s="24"/>
      <c r="H78" s="24"/>
      <c r="K78" s="4"/>
      <c r="L78" s="4"/>
      <c r="M78" s="4"/>
      <c r="N78" s="4"/>
      <c r="O78" s="4"/>
      <c r="P78" s="27"/>
      <c r="Q78" s="25"/>
      <c r="R78" s="25"/>
      <c r="S78" s="12">
        <f t="shared" si="33"/>
        <v>0</v>
      </c>
      <c r="T78" s="5">
        <v>0</v>
      </c>
      <c r="U78" s="12">
        <f t="shared" si="34"/>
        <v>0</v>
      </c>
      <c r="V78" s="25" t="s">
        <v>10</v>
      </c>
      <c r="W78" s="11">
        <f>IFERROR(VLOOKUP(V78,Curr!$B$2:$C$13,2,FALSE),0)</f>
        <v>10.8</v>
      </c>
      <c r="X78" s="12">
        <f t="shared" si="35"/>
        <v>0</v>
      </c>
      <c r="Y78" s="26">
        <f t="shared" si="36"/>
        <v>0</v>
      </c>
      <c r="Z78" s="12">
        <f t="shared" si="37"/>
        <v>0</v>
      </c>
      <c r="AA78" s="4" t="s">
        <v>10</v>
      </c>
      <c r="AB78" s="11">
        <f>IFERROR(VLOOKUP(AA78,Curr!$B$2:$C$13,2,FALSE),0)</f>
        <v>10.8</v>
      </c>
      <c r="AC78" s="12">
        <f t="shared" si="38"/>
        <v>0</v>
      </c>
      <c r="AD78" s="12">
        <f t="shared" si="39"/>
        <v>0</v>
      </c>
      <c r="AE78" s="13">
        <f t="shared" si="40"/>
        <v>0</v>
      </c>
    </row>
    <row r="79" spans="2:31" x14ac:dyDescent="0.25">
      <c r="B79" s="4"/>
      <c r="E79" s="3"/>
      <c r="F79" s="3"/>
      <c r="G79" s="24"/>
      <c r="H79" s="24"/>
      <c r="K79" s="4"/>
      <c r="L79" s="4"/>
      <c r="M79" s="4"/>
      <c r="N79" s="4"/>
      <c r="O79" s="4"/>
      <c r="P79" s="27"/>
      <c r="Q79" s="25"/>
      <c r="R79" s="25"/>
      <c r="S79" s="12">
        <f t="shared" si="33"/>
        <v>0</v>
      </c>
      <c r="T79" s="5">
        <v>0</v>
      </c>
      <c r="U79" s="12">
        <f t="shared" si="34"/>
        <v>0</v>
      </c>
      <c r="V79" s="25" t="s">
        <v>10</v>
      </c>
      <c r="W79" s="11">
        <f>IFERROR(VLOOKUP(V79,Curr!$B$2:$C$13,2,FALSE),0)</f>
        <v>10.8</v>
      </c>
      <c r="X79" s="12">
        <f t="shared" si="35"/>
        <v>0</v>
      </c>
      <c r="Y79" s="26">
        <f t="shared" si="36"/>
        <v>0</v>
      </c>
      <c r="Z79" s="12">
        <f t="shared" si="37"/>
        <v>0</v>
      </c>
      <c r="AA79" s="4" t="s">
        <v>10</v>
      </c>
      <c r="AB79" s="11">
        <f>IFERROR(VLOOKUP(AA79,Curr!$B$2:$C$13,2,FALSE),0)</f>
        <v>10.8</v>
      </c>
      <c r="AC79" s="12">
        <f t="shared" si="38"/>
        <v>0</v>
      </c>
      <c r="AD79" s="12">
        <f t="shared" si="39"/>
        <v>0</v>
      </c>
      <c r="AE79" s="13">
        <f t="shared" si="40"/>
        <v>0</v>
      </c>
    </row>
    <row r="80" spans="2:31" x14ac:dyDescent="0.25">
      <c r="B80" s="4"/>
      <c r="E80" s="3"/>
      <c r="F80" s="3"/>
      <c r="G80" s="24"/>
      <c r="H80" s="24"/>
      <c r="K80" s="4"/>
      <c r="L80" s="4"/>
      <c r="M80" s="4"/>
      <c r="N80" s="4"/>
      <c r="O80" s="4"/>
      <c r="P80" s="27"/>
      <c r="Q80" s="25"/>
      <c r="R80" s="25"/>
      <c r="S80" s="12">
        <f t="shared" si="33"/>
        <v>0</v>
      </c>
      <c r="T80" s="5">
        <v>0</v>
      </c>
      <c r="U80" s="12">
        <f t="shared" si="34"/>
        <v>0</v>
      </c>
      <c r="V80" s="25" t="s">
        <v>10</v>
      </c>
      <c r="W80" s="11">
        <f>IFERROR(VLOOKUP(V80,Curr!$B$2:$C$13,2,FALSE),0)</f>
        <v>10.8</v>
      </c>
      <c r="X80" s="12">
        <f t="shared" si="35"/>
        <v>0</v>
      </c>
      <c r="Y80" s="26">
        <f t="shared" si="36"/>
        <v>0</v>
      </c>
      <c r="Z80" s="12">
        <f t="shared" si="37"/>
        <v>0</v>
      </c>
      <c r="AA80" s="4" t="s">
        <v>10</v>
      </c>
      <c r="AB80" s="11">
        <f>IFERROR(VLOOKUP(AA80,Curr!$B$2:$C$13,2,FALSE),0)</f>
        <v>10.8</v>
      </c>
      <c r="AC80" s="12">
        <f t="shared" si="38"/>
        <v>0</v>
      </c>
      <c r="AD80" s="12">
        <f t="shared" si="39"/>
        <v>0</v>
      </c>
      <c r="AE80" s="13">
        <f t="shared" si="40"/>
        <v>0</v>
      </c>
    </row>
    <row r="81" spans="2:36" x14ac:dyDescent="0.25">
      <c r="B81" s="4"/>
      <c r="E81" s="3"/>
      <c r="F81" s="3"/>
      <c r="G81" s="24"/>
      <c r="H81" s="24"/>
      <c r="K81" s="4"/>
      <c r="L81" s="4"/>
      <c r="M81" s="4"/>
      <c r="N81" s="4"/>
      <c r="O81" s="4"/>
      <c r="P81" s="33"/>
      <c r="Q81" s="25"/>
      <c r="R81" s="25"/>
      <c r="S81" s="12">
        <f t="shared" si="33"/>
        <v>0</v>
      </c>
      <c r="T81" s="5">
        <v>0</v>
      </c>
      <c r="U81" s="12">
        <f t="shared" si="34"/>
        <v>0</v>
      </c>
      <c r="V81" s="25" t="s">
        <v>10</v>
      </c>
      <c r="W81" s="11">
        <f>IFERROR(VLOOKUP(V81,Curr!$B$2:$C$13,2,FALSE),0)</f>
        <v>10.8</v>
      </c>
      <c r="X81" s="12">
        <f t="shared" si="35"/>
        <v>0</v>
      </c>
      <c r="Y81" s="26">
        <f t="shared" si="36"/>
        <v>0</v>
      </c>
      <c r="Z81" s="12">
        <f t="shared" si="37"/>
        <v>0</v>
      </c>
      <c r="AA81" s="4" t="s">
        <v>10</v>
      </c>
      <c r="AB81" s="11">
        <f>IFERROR(VLOOKUP(AA81,Curr!$B$2:$C$13,2,FALSE),0)</f>
        <v>10.8</v>
      </c>
      <c r="AC81" s="12">
        <f t="shared" si="38"/>
        <v>0</v>
      </c>
      <c r="AD81" s="12">
        <f t="shared" si="39"/>
        <v>0</v>
      </c>
      <c r="AE81" s="13">
        <f t="shared" si="40"/>
        <v>0</v>
      </c>
    </row>
    <row r="82" spans="2:36" x14ac:dyDescent="0.25">
      <c r="B82" s="4"/>
      <c r="E82" s="3"/>
      <c r="F82" s="3"/>
      <c r="G82" s="24"/>
      <c r="H82" s="24"/>
      <c r="K82" s="4"/>
      <c r="L82" s="4"/>
      <c r="M82" s="4"/>
      <c r="N82" s="4"/>
      <c r="O82" s="4"/>
      <c r="P82" s="27"/>
      <c r="Q82" s="25"/>
      <c r="R82" s="25"/>
      <c r="S82" s="12">
        <f t="shared" si="33"/>
        <v>0</v>
      </c>
      <c r="T82" s="5">
        <v>0</v>
      </c>
      <c r="U82" s="12">
        <f t="shared" si="34"/>
        <v>0</v>
      </c>
      <c r="V82" s="25" t="s">
        <v>10</v>
      </c>
      <c r="W82" s="11">
        <f>IFERROR(VLOOKUP(V82,Curr!$B$2:$C$13,2,FALSE),0)</f>
        <v>10.8</v>
      </c>
      <c r="X82" s="12">
        <f t="shared" si="35"/>
        <v>0</v>
      </c>
      <c r="Y82" s="26">
        <f t="shared" si="36"/>
        <v>0</v>
      </c>
      <c r="Z82" s="12">
        <f t="shared" si="37"/>
        <v>0</v>
      </c>
      <c r="AA82" s="4" t="s">
        <v>10</v>
      </c>
      <c r="AB82" s="11">
        <f>IFERROR(VLOOKUP(AA82,Curr!$B$2:$C$13,2,FALSE),0)</f>
        <v>10.8</v>
      </c>
      <c r="AC82" s="12">
        <f t="shared" si="38"/>
        <v>0</v>
      </c>
      <c r="AD82" s="12">
        <f t="shared" si="39"/>
        <v>0</v>
      </c>
      <c r="AE82" s="13">
        <f t="shared" si="40"/>
        <v>0</v>
      </c>
    </row>
    <row r="83" spans="2:36" x14ac:dyDescent="0.25">
      <c r="B83" s="4"/>
      <c r="E83" s="3"/>
      <c r="F83" s="3"/>
      <c r="G83" s="24"/>
      <c r="H83" s="24"/>
      <c r="K83" s="4"/>
      <c r="L83" s="4"/>
      <c r="M83" s="4"/>
      <c r="N83" s="4"/>
      <c r="O83" s="4"/>
      <c r="P83" s="33"/>
      <c r="Q83" s="25"/>
      <c r="R83" s="25"/>
      <c r="S83" s="12">
        <f t="shared" si="33"/>
        <v>0</v>
      </c>
      <c r="T83" s="5">
        <v>0</v>
      </c>
      <c r="U83" s="12">
        <f t="shared" si="34"/>
        <v>0</v>
      </c>
      <c r="V83" s="25" t="s">
        <v>10</v>
      </c>
      <c r="W83" s="11">
        <f>IFERROR(VLOOKUP(V83,Curr!$B$2:$C$13,2,FALSE),0)</f>
        <v>10.8</v>
      </c>
      <c r="X83" s="12">
        <f t="shared" si="35"/>
        <v>0</v>
      </c>
      <c r="Y83" s="26">
        <f t="shared" si="36"/>
        <v>0</v>
      </c>
      <c r="Z83" s="12">
        <f t="shared" si="37"/>
        <v>0</v>
      </c>
      <c r="AA83" s="4" t="s">
        <v>10</v>
      </c>
      <c r="AB83" s="11">
        <f>IFERROR(VLOOKUP(AA83,Curr!$B$2:$C$13,2,FALSE),0)</f>
        <v>10.8</v>
      </c>
      <c r="AC83" s="12">
        <f t="shared" si="38"/>
        <v>0</v>
      </c>
      <c r="AD83" s="12">
        <f t="shared" si="39"/>
        <v>0</v>
      </c>
      <c r="AE83" s="13">
        <f t="shared" si="40"/>
        <v>0</v>
      </c>
    </row>
    <row r="84" spans="2:36" x14ac:dyDescent="0.25">
      <c r="B84" s="4"/>
      <c r="E84" s="3"/>
      <c r="F84" s="3"/>
      <c r="G84" s="3"/>
      <c r="H84" s="3"/>
      <c r="L84" s="4"/>
      <c r="M84" s="4"/>
      <c r="N84" s="4"/>
      <c r="O84" s="4"/>
      <c r="P84" s="22"/>
      <c r="Q84" s="4"/>
      <c r="R84" s="4"/>
      <c r="S84" s="4"/>
      <c r="T84" s="4"/>
      <c r="U84" s="4"/>
      <c r="V84" s="4"/>
      <c r="W84" s="4"/>
      <c r="X84" s="4"/>
      <c r="Y84" s="4"/>
      <c r="Z84" s="4"/>
      <c r="AA84" s="4"/>
      <c r="AB84" s="4"/>
      <c r="AC84" s="4"/>
      <c r="AD84" s="4"/>
      <c r="AE84" s="4"/>
      <c r="AF84" s="4"/>
    </row>
    <row r="85" spans="2:36" x14ac:dyDescent="0.25">
      <c r="B85" s="14" t="s">
        <v>18</v>
      </c>
      <c r="C85" s="14"/>
      <c r="D85" s="28" t="s">
        <v>42</v>
      </c>
      <c r="E85" s="30" t="s">
        <v>42</v>
      </c>
      <c r="F85" s="30" t="s">
        <v>42</v>
      </c>
      <c r="G85" s="30" t="s">
        <v>42</v>
      </c>
      <c r="H85" s="30" t="s">
        <v>42</v>
      </c>
      <c r="I85" s="28" t="s">
        <v>42</v>
      </c>
      <c r="J85" s="28" t="s">
        <v>42</v>
      </c>
      <c r="K85" s="28" t="s">
        <v>42</v>
      </c>
      <c r="L85" s="28" t="s">
        <v>42</v>
      </c>
      <c r="M85" s="28" t="s">
        <v>42</v>
      </c>
      <c r="N85" s="28" t="s">
        <v>42</v>
      </c>
      <c r="O85" s="28" t="s">
        <v>42</v>
      </c>
      <c r="P85" s="28" t="s">
        <v>42</v>
      </c>
      <c r="Q85" s="31" t="s">
        <v>42</v>
      </c>
      <c r="R85" s="28" t="s">
        <v>42</v>
      </c>
      <c r="S85" s="32" t="s">
        <v>42</v>
      </c>
      <c r="T85" s="28" t="s">
        <v>42</v>
      </c>
      <c r="U85" s="32" t="s">
        <v>42</v>
      </c>
      <c r="V85" s="28" t="s">
        <v>42</v>
      </c>
      <c r="W85" s="28" t="s">
        <v>42</v>
      </c>
      <c r="X85" s="32" t="s">
        <v>42</v>
      </c>
      <c r="Y85" s="32" t="s">
        <v>42</v>
      </c>
      <c r="Z85" s="15">
        <f>SUM(Z7:Z83)</f>
        <v>27581.910427807485</v>
      </c>
      <c r="AA85" s="14"/>
      <c r="AB85" s="14"/>
      <c r="AC85" s="15">
        <f>SUM(AC7:AC83)</f>
        <v>297884.63262032083</v>
      </c>
      <c r="AD85" s="15">
        <f>SUM(AD7:AD83)</f>
        <v>56940.992620320845</v>
      </c>
      <c r="AE85" s="21">
        <f t="shared" ref="AE85" si="41">IFERROR(AD85/AC85,0)</f>
        <v>0.19115115848522793</v>
      </c>
      <c r="AF85" s="15">
        <f>SUM(AF8:AF84)</f>
        <v>0</v>
      </c>
      <c r="AG85" s="15">
        <f>SUM(AG8:AG84)</f>
        <v>0</v>
      </c>
      <c r="AH85" s="15">
        <f>SUM(AH8:AH84)</f>
        <v>0</v>
      </c>
      <c r="AI85" s="15">
        <f>SUM(AI8:AI84)</f>
        <v>0</v>
      </c>
      <c r="AJ85" s="15">
        <f>SUM(AJ8:AJ84)</f>
        <v>0</v>
      </c>
    </row>
    <row r="86" spans="2:36" x14ac:dyDescent="0.25">
      <c r="B86" s="4"/>
      <c r="E86" s="3"/>
      <c r="F86" s="3"/>
      <c r="G86" s="3"/>
      <c r="H86" s="3"/>
      <c r="L86" s="4"/>
      <c r="M86" s="4"/>
      <c r="N86" s="4"/>
      <c r="O86" s="4"/>
      <c r="Q86" s="4"/>
      <c r="R86" s="4"/>
      <c r="S86" s="4"/>
      <c r="T86" s="4"/>
      <c r="U86" s="4"/>
      <c r="V86" s="4"/>
      <c r="W86" s="4"/>
      <c r="X86" s="4"/>
      <c r="Y86" s="9"/>
      <c r="Z86" s="9"/>
      <c r="AA86" s="9"/>
      <c r="AB86" s="9"/>
      <c r="AC86" s="9"/>
      <c r="AD86" s="9"/>
      <c r="AE86" s="9"/>
    </row>
    <row r="87" spans="2:36" x14ac:dyDescent="0.25">
      <c r="B87" s="4"/>
      <c r="E87" s="3"/>
      <c r="F87" s="3"/>
      <c r="G87" s="3"/>
      <c r="H87" s="3"/>
      <c r="L87" s="4"/>
      <c r="M87" s="4"/>
      <c r="N87" s="4"/>
      <c r="O87" s="4"/>
      <c r="Q87" s="9"/>
      <c r="R87" s="9"/>
      <c r="S87" s="9"/>
      <c r="T87" s="9"/>
      <c r="U87" s="9"/>
      <c r="V87" s="9"/>
      <c r="W87" s="9"/>
      <c r="X87" s="23"/>
      <c r="Y87" s="34" t="s">
        <v>43</v>
      </c>
      <c r="Z87" s="34">
        <v>27600</v>
      </c>
      <c r="AA87" s="9"/>
      <c r="AB87" s="9"/>
      <c r="AC87" s="9"/>
      <c r="AD87" s="9"/>
      <c r="AE87" s="9"/>
    </row>
    <row r="88" spans="2:36" x14ac:dyDescent="0.25">
      <c r="B88" s="4"/>
      <c r="E88" s="3"/>
      <c r="F88" s="3"/>
      <c r="G88" s="3"/>
      <c r="H88" s="3"/>
      <c r="L88" s="4"/>
      <c r="M88" s="4"/>
      <c r="N88" s="4"/>
      <c r="O88" s="4"/>
      <c r="Q88" s="9"/>
      <c r="R88" s="9"/>
      <c r="S88" s="9"/>
      <c r="T88" s="9"/>
      <c r="U88" s="9"/>
      <c r="V88" s="9"/>
      <c r="W88" s="9"/>
      <c r="X88" s="9"/>
      <c r="Y88" s="34" t="s">
        <v>44</v>
      </c>
      <c r="Z88" s="34">
        <f>Z87/4</f>
        <v>6900</v>
      </c>
      <c r="AA88" s="9"/>
      <c r="AB88" s="9"/>
      <c r="AC88" s="9"/>
      <c r="AD88" s="9"/>
      <c r="AE88" s="9"/>
      <c r="AF88" s="18"/>
    </row>
    <row r="89" spans="2:36" x14ac:dyDescent="0.25">
      <c r="B89" s="4"/>
      <c r="E89" s="3"/>
      <c r="F89" s="3"/>
      <c r="G89" s="3"/>
      <c r="H89" s="3"/>
      <c r="I89" s="19"/>
      <c r="J89" s="35"/>
      <c r="L89" s="4"/>
      <c r="M89" s="4"/>
      <c r="N89" s="4"/>
      <c r="O89" s="20"/>
      <c r="Q89" s="20"/>
      <c r="R89" s="20"/>
      <c r="S89" s="20"/>
      <c r="T89" s="20"/>
      <c r="U89" s="20"/>
      <c r="V89" s="20"/>
      <c r="W89" s="20"/>
      <c r="X89" s="20"/>
      <c r="Y89" s="9"/>
      <c r="Z89" s="9"/>
      <c r="AA89" s="9"/>
      <c r="AB89" s="9"/>
      <c r="AC89" s="9"/>
      <c r="AD89" s="9"/>
      <c r="AE89" s="9"/>
      <c r="AF89" s="18"/>
    </row>
    <row r="90" spans="2:36" x14ac:dyDescent="0.25">
      <c r="B90" s="4"/>
      <c r="E90" s="3"/>
      <c r="F90" s="3"/>
      <c r="G90" s="3"/>
      <c r="H90" s="3"/>
      <c r="L90" s="4"/>
      <c r="M90" s="4"/>
      <c r="N90" s="4"/>
      <c r="O90" s="20"/>
      <c r="Q90" s="20"/>
      <c r="R90" s="20"/>
      <c r="S90" s="20"/>
      <c r="T90" s="20"/>
      <c r="U90" s="20"/>
      <c r="V90" s="20"/>
      <c r="W90" s="20"/>
      <c r="X90" s="20"/>
      <c r="Y90" s="34" t="s">
        <v>31</v>
      </c>
      <c r="Z90" s="34">
        <v>32280</v>
      </c>
      <c r="AA90" s="9"/>
      <c r="AB90" s="9"/>
      <c r="AC90" s="9"/>
      <c r="AD90" s="9"/>
      <c r="AE90" s="9"/>
      <c r="AF90" s="18"/>
    </row>
    <row r="91" spans="2:36" x14ac:dyDescent="0.25">
      <c r="B91" s="4"/>
      <c r="E91" s="3"/>
      <c r="F91" s="3"/>
      <c r="G91" s="3"/>
      <c r="H91" s="3"/>
      <c r="L91" s="4"/>
      <c r="M91" s="4"/>
      <c r="N91" s="4"/>
      <c r="O91" s="4"/>
      <c r="Q91" s="9"/>
      <c r="R91" s="9"/>
      <c r="S91" s="9"/>
      <c r="T91" s="9"/>
      <c r="U91" s="9"/>
      <c r="V91" s="9"/>
      <c r="W91" s="9"/>
      <c r="X91" s="9"/>
      <c r="Y91" s="34" t="s">
        <v>44</v>
      </c>
      <c r="Z91" s="34">
        <f>Z90/4</f>
        <v>8070</v>
      </c>
      <c r="AA91" s="9"/>
      <c r="AB91" s="9"/>
      <c r="AC91" s="9"/>
      <c r="AD91" s="9"/>
      <c r="AE91" s="9"/>
      <c r="AF91" s="18"/>
    </row>
    <row r="92" spans="2:36" x14ac:dyDescent="0.25">
      <c r="F92" s="1"/>
      <c r="G92" s="1"/>
      <c r="H92" s="1"/>
      <c r="J92" s="1" t="s">
        <v>32</v>
      </c>
      <c r="Q92" s="9"/>
      <c r="R92" s="4"/>
      <c r="S92" s="9"/>
      <c r="T92" s="5"/>
      <c r="U92" s="9"/>
      <c r="V92" s="4"/>
      <c r="W92" s="4"/>
      <c r="X92" s="9"/>
      <c r="Y92" s="9"/>
      <c r="Z92" s="9"/>
      <c r="AA92" s="9"/>
      <c r="AB92" s="9"/>
      <c r="AC92" s="9"/>
      <c r="AD92" s="9"/>
      <c r="AE92" s="9"/>
    </row>
    <row r="93" spans="2:36" x14ac:dyDescent="0.25">
      <c r="R93" s="4"/>
      <c r="S93" s="17"/>
      <c r="T93" s="17"/>
      <c r="U93" s="9"/>
      <c r="V93" s="4"/>
      <c r="W93" s="4"/>
      <c r="X93" s="9"/>
      <c r="Y93" s="9" t="s">
        <v>208</v>
      </c>
      <c r="Z93" s="9">
        <f>Z87-Y9-Y19-Y23-Y31-Y39-Y48-Y59-Y72</f>
        <v>9776.3774509803952</v>
      </c>
      <c r="AA93" s="9"/>
      <c r="AB93" s="9"/>
      <c r="AC93" s="9"/>
      <c r="AD93" s="9"/>
      <c r="AE93" s="9"/>
    </row>
    <row r="94" spans="2:36" x14ac:dyDescent="0.25">
      <c r="Q94" s="9"/>
      <c r="R94" s="4"/>
      <c r="S94" s="16"/>
      <c r="T94" s="16"/>
      <c r="U94" s="9"/>
      <c r="V94" s="4"/>
      <c r="W94" s="4"/>
      <c r="X94" s="9"/>
      <c r="Y94" s="9" t="s">
        <v>31</v>
      </c>
      <c r="Z94" s="9">
        <f>Z93*1.17</f>
        <v>11438.361617647062</v>
      </c>
      <c r="AA94" s="9"/>
      <c r="AB94" s="9"/>
      <c r="AC94" s="9"/>
      <c r="AD94" s="9"/>
      <c r="AE94" s="9"/>
    </row>
    <row r="95" spans="2:36" x14ac:dyDescent="0.25">
      <c r="R95" s="4"/>
      <c r="S95" s="16"/>
      <c r="T95" s="16"/>
      <c r="Y95" s="9" t="s">
        <v>44</v>
      </c>
      <c r="Z95" s="9">
        <f>Z94/4</f>
        <v>2859.5904044117656</v>
      </c>
      <c r="AA95" s="9"/>
      <c r="AB95" s="9"/>
      <c r="AC95" s="9"/>
      <c r="AD95" s="9"/>
      <c r="AE95" s="9"/>
    </row>
    <row r="96" spans="2:36" x14ac:dyDescent="0.25">
      <c r="T96" s="5"/>
      <c r="Y96" s="9"/>
      <c r="Z96" s="9"/>
      <c r="AA96" s="9"/>
      <c r="AB96" s="9"/>
      <c r="AC96" s="9"/>
      <c r="AD96" s="9"/>
      <c r="AE96" s="9"/>
    </row>
    <row r="97" spans="20:31" x14ac:dyDescent="0.25">
      <c r="T97" s="5"/>
      <c r="Y97" s="9" t="s">
        <v>227</v>
      </c>
      <c r="Z97" s="9">
        <v>11600</v>
      </c>
      <c r="AA97" s="9"/>
      <c r="AB97" s="9"/>
      <c r="AC97" s="9"/>
      <c r="AD97" s="9"/>
      <c r="AE97" s="9"/>
    </row>
    <row r="98" spans="20:31" x14ac:dyDescent="0.25">
      <c r="T98" s="5"/>
      <c r="Y98" s="9"/>
      <c r="Z98" s="9">
        <f>Z97/4</f>
        <v>2900</v>
      </c>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c r="Y103" s="9"/>
      <c r="Z103" s="9"/>
      <c r="AA103" s="9"/>
      <c r="AB103" s="9"/>
      <c r="AC103" s="9"/>
      <c r="AD103" s="9"/>
      <c r="AE103" s="9"/>
    </row>
    <row r="104" spans="20:31" x14ac:dyDescent="0.25">
      <c r="T104" s="5"/>
    </row>
    <row r="105" spans="20:31" x14ac:dyDescent="0.25">
      <c r="T105" s="5"/>
    </row>
    <row r="106" spans="20:31" x14ac:dyDescent="0.25">
      <c r="T106" s="5"/>
    </row>
    <row r="107" spans="20:31" x14ac:dyDescent="0.25">
      <c r="T107" s="5"/>
    </row>
    <row r="108" spans="20:31" x14ac:dyDescent="0.25">
      <c r="T108" s="5"/>
    </row>
  </sheetData>
  <autoFilter ref="B6:AE85" xr:uid="{65FA6D9B-E0AF-46CD-BA0D-86BB75FE6AB0}"/>
  <hyperlinks>
    <hyperlink ref="P37" r:id="rId1" display="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xr:uid="{558815D5-2232-4E88-9FDB-3F039E5F8C01}"/>
    <hyperlink ref="P42" r:id="rId2" xr:uid="{10B4A888-5B45-4CE2-8494-BF912EA43CE4}"/>
    <hyperlink ref="P46" r:id="rId3" xr:uid="{8BCC1C25-544B-4060-9FA3-14D30FF02FC9}"/>
    <hyperlink ref="P39" r:id="rId4" xr:uid="{D7F30AA2-874E-4737-8E69-246CB1F22884}"/>
    <hyperlink ref="P47" r:id="rId5" xr:uid="{EF254134-ADEA-4EA6-AA51-9A8E3B022420}"/>
    <hyperlink ref="P53" r:id="rId6" xr:uid="{CC56DB3A-4049-424B-9F1E-88F030A1EDDE}"/>
    <hyperlink ref="P51" r:id="rId7" xr:uid="{4CE21EA7-5569-4632-9FD7-011F5DD906DF}"/>
    <hyperlink ref="P55" r:id="rId8" xr:uid="{ABCA2D0B-491E-4695-97ED-0397AAE5E71C}"/>
    <hyperlink ref="P56" r:id="rId9" location="/select-flight" xr:uid="{E7FC4FC1-D632-420C-BFA1-0354B9BFA32B}"/>
    <hyperlink ref="P48" r:id="rId10" xr:uid="{BDEA55F7-2CA2-4DF5-8CC1-DEA90840804D}"/>
    <hyperlink ref="P72" r:id="rId11" xr:uid="{5AC902D0-96DD-4DEB-959B-41FEDFF77656}"/>
    <hyperlink ref="P59" r:id="rId12" xr:uid="{FB3959D0-13EF-4504-9322-8EAEA70BE755}"/>
    <hyperlink ref="P70" r:id="rId13" xr:uid="{7C0A55E7-8FF5-4B71-A427-82D9BBCAF3CE}"/>
    <hyperlink ref="P62" r:id="rId14" xr:uid="{E163A25E-98D8-4747-8D1B-730533C8E33A}"/>
    <hyperlink ref="P28" r:id="rId15" xr:uid="{1EC4F146-F04B-412D-95EC-80BC1695E891}"/>
    <hyperlink ref="P26" r:id="rId16" xr:uid="{3E757A96-4D0E-46A6-9E6D-CB95BAFDB421}"/>
    <hyperlink ref="P12" r:id="rId17" xr:uid="{2E9D2DAF-3519-4D8D-8A41-25D740984E62}"/>
    <hyperlink ref="P33" r:id="rId18" xr:uid="{C5EAD0C1-9E6E-4BD1-A847-CBF23B8B0B5F}"/>
    <hyperlink ref="P14" r:id="rId19" xr:uid="{7A83ABF3-3DDE-4127-B423-2BF288CB5E6A}"/>
    <hyperlink ref="P9" r:id="rId20" xr:uid="{31CC75EB-07ED-4616-B5A6-75B28DCE120D}"/>
    <hyperlink ref="P23" r:id="rId21" xr:uid="{6B6579A6-6CD2-45DE-A0F2-5DF33D8CF7A6}"/>
    <hyperlink ref="P19" r:id="rId22" xr:uid="{DBE9DDEB-19AB-4355-859D-58BA7E82E16E}"/>
    <hyperlink ref="P17" r:id="rId23" display="https://app.hotelbeds.com/carhire/search?baggage=4&amp;results=20&amp;sortBy=LOWEST_PRICE_FIRST&amp;field=PRICE&amp;direction=ASCENDING&amp;page=2&amp;destinationTab=Reykjav%C3%ADk&amp;pickupDate=29-06-2026&amp;pickupTime=12:00&amp;dropoffDate=03-07-2026&amp;dropoffTime=12:00&amp;sameOfficeCheckbox=false&amp;officePickupControl=1171&amp;officeDropoffControl=701&amp;typeDepartureCode=airport&amp;_timestamp=1776931327625&amp;departureTab=Keflav%C3%ADk%20International%20Airport%20(KEF)&amp;typeArrivalCode=city" xr:uid="{8FBA0B3A-70F7-4CF7-A40E-179BA53D9B5B}"/>
    <hyperlink ref="P31" r:id="rId24" xr:uid="{B53DD173-A7E0-4D3F-80BE-77A1EA3B454D}"/>
    <hyperlink ref="P57" r:id="rId25" display="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xr:uid="{EA531BF2-71C2-4C78-96EA-222358A33CFE}"/>
  </hyperlinks>
  <pageMargins left="0.7" right="0.7" top="0.75" bottom="0.75" header="0.3" footer="0.3"/>
  <pageSetup paperSize="9" orientation="portrait" r:id="rId2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D96F-B8E5-4199-9F42-7796169A0EC1}">
  <sheetPr>
    <tabColor rgb="FFFFFF00"/>
  </sheetPr>
  <dimension ref="B2:AK108"/>
  <sheetViews>
    <sheetView topLeftCell="A12" zoomScale="80" zoomScaleNormal="80" workbookViewId="0">
      <selection activeCell="J54" sqref="J54"/>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212</v>
      </c>
    </row>
    <row r="3" spans="2:36" x14ac:dyDescent="0.25">
      <c r="B3" s="2" t="s">
        <v>45</v>
      </c>
    </row>
    <row r="4" spans="2:36" x14ac:dyDescent="0.25">
      <c r="B4" s="2" t="s">
        <v>46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47</v>
      </c>
      <c r="D7" s="1" t="s">
        <v>48</v>
      </c>
      <c r="E7" s="3" t="s">
        <v>77</v>
      </c>
      <c r="F7" s="3"/>
      <c r="G7" s="3"/>
      <c r="H7" s="3"/>
      <c r="J7" s="1" t="s">
        <v>52</v>
      </c>
      <c r="K7" s="4"/>
      <c r="L7" s="4"/>
      <c r="M7" s="4"/>
      <c r="N7" s="4"/>
      <c r="O7" s="4"/>
      <c r="P7" s="27"/>
      <c r="Q7" s="25">
        <v>0</v>
      </c>
      <c r="R7" s="25">
        <v>0</v>
      </c>
      <c r="S7" s="12">
        <f t="shared" ref="S7:S69" si="0">+Q7*R7</f>
        <v>0</v>
      </c>
      <c r="T7" s="5">
        <v>0</v>
      </c>
      <c r="U7" s="12">
        <f t="shared" ref="U7:U69" si="1">S7*(1-T7)</f>
        <v>0</v>
      </c>
      <c r="V7" s="25" t="s">
        <v>10</v>
      </c>
      <c r="W7" s="11">
        <f>IFERROR(VLOOKUP(V7,Curr!$B$2:$C$13,2,FALSE),0)</f>
        <v>10.8</v>
      </c>
      <c r="X7" s="12">
        <f t="shared" ref="X7:X69" si="2">U7*W7</f>
        <v>0</v>
      </c>
      <c r="Y7" s="26">
        <f t="shared" ref="Y7:Y8" si="3">Q7</f>
        <v>0</v>
      </c>
      <c r="Z7" s="12">
        <f t="shared" ref="Z7:Z69" si="4">+Y7*R7</f>
        <v>0</v>
      </c>
      <c r="AA7" s="4" t="s">
        <v>10</v>
      </c>
      <c r="AB7" s="11">
        <f>IFERROR(VLOOKUP(AA7,Curr!$B$2:$C$13,2,FALSE),0)</f>
        <v>10.8</v>
      </c>
      <c r="AC7" s="12">
        <f t="shared" ref="AC7:AC69" si="5">+Y7*AB7*R7</f>
        <v>0</v>
      </c>
      <c r="AD7" s="12">
        <f t="shared" ref="AD7:AD69" si="6">+AC7-X7</f>
        <v>0</v>
      </c>
      <c r="AE7" s="13">
        <f t="shared" ref="AE7:AE69" si="7">IFERROR(AD7/AC7,0)</f>
        <v>0</v>
      </c>
    </row>
    <row r="8" spans="2:36" x14ac:dyDescent="0.25">
      <c r="B8" s="4"/>
      <c r="C8" s="1" t="s">
        <v>47</v>
      </c>
      <c r="D8" s="1" t="s">
        <v>180</v>
      </c>
      <c r="E8" s="3" t="s">
        <v>77</v>
      </c>
      <c r="F8" s="3"/>
      <c r="G8" s="24"/>
      <c r="H8" s="24"/>
      <c r="J8" s="1" t="s">
        <v>181</v>
      </c>
      <c r="K8" s="4"/>
      <c r="L8" s="4"/>
      <c r="M8" s="4"/>
      <c r="N8" s="4"/>
      <c r="O8" s="4"/>
      <c r="P8" s="33"/>
      <c r="Q8" s="25">
        <v>160</v>
      </c>
      <c r="R8" s="25">
        <v>1</v>
      </c>
      <c r="S8" s="12">
        <f t="shared" si="0"/>
        <v>160</v>
      </c>
      <c r="T8" s="5">
        <v>0.2</v>
      </c>
      <c r="U8" s="12">
        <f t="shared" si="1"/>
        <v>128</v>
      </c>
      <c r="V8" s="25" t="s">
        <v>10</v>
      </c>
      <c r="W8" s="11">
        <f>IFERROR(VLOOKUP(V8,Curr!$B$2:$C$13,2,FALSE),0)</f>
        <v>10.8</v>
      </c>
      <c r="X8" s="12">
        <f t="shared" si="2"/>
        <v>1382.4</v>
      </c>
      <c r="Y8" s="26">
        <f t="shared" si="3"/>
        <v>160</v>
      </c>
      <c r="Z8" s="12">
        <f t="shared" si="4"/>
        <v>160</v>
      </c>
      <c r="AA8" s="4" t="s">
        <v>10</v>
      </c>
      <c r="AB8" s="11">
        <f>IFERROR(VLOOKUP(AA8,Curr!$B$2:$C$13,2,FALSE),0)</f>
        <v>10.8</v>
      </c>
      <c r="AC8" s="12">
        <f t="shared" si="5"/>
        <v>1728</v>
      </c>
      <c r="AD8" s="12">
        <f t="shared" si="6"/>
        <v>345.59999999999991</v>
      </c>
      <c r="AE8" s="13">
        <f t="shared" si="7"/>
        <v>0.19999999999999996</v>
      </c>
    </row>
    <row r="9" spans="2:36" x14ac:dyDescent="0.25">
      <c r="B9" s="4"/>
      <c r="C9" s="1" t="s">
        <v>47</v>
      </c>
      <c r="D9" s="1" t="s">
        <v>50</v>
      </c>
      <c r="E9" s="3" t="s">
        <v>77</v>
      </c>
      <c r="F9" s="3" t="s">
        <v>82</v>
      </c>
      <c r="G9" s="24"/>
      <c r="H9" s="24"/>
      <c r="J9" s="1" t="s">
        <v>216</v>
      </c>
      <c r="K9" s="4"/>
      <c r="L9" s="4"/>
      <c r="M9" s="4"/>
      <c r="N9" s="4"/>
      <c r="O9" s="4"/>
      <c r="P9" s="33" t="s">
        <v>217</v>
      </c>
      <c r="Q9" s="25">
        <v>2075</v>
      </c>
      <c r="R9" s="25">
        <v>1</v>
      </c>
      <c r="S9" s="12">
        <f t="shared" si="0"/>
        <v>2075</v>
      </c>
      <c r="T9" s="5">
        <v>0</v>
      </c>
      <c r="U9" s="12">
        <f t="shared" si="1"/>
        <v>2075</v>
      </c>
      <c r="V9" s="25" t="s">
        <v>10</v>
      </c>
      <c r="W9" s="11">
        <f>IFERROR(VLOOKUP(V9,Curr!$B$2:$C$13,2,FALSE),0)</f>
        <v>10.8</v>
      </c>
      <c r="X9" s="12">
        <f t="shared" si="2"/>
        <v>22410</v>
      </c>
      <c r="Y9" s="26">
        <f>Q9/0.8</f>
        <v>2593.75</v>
      </c>
      <c r="Z9" s="12">
        <f t="shared" si="4"/>
        <v>2593.75</v>
      </c>
      <c r="AA9" s="4" t="s">
        <v>10</v>
      </c>
      <c r="AB9" s="11">
        <f>IFERROR(VLOOKUP(AA9,Curr!$B$2:$C$13,2,FALSE),0)</f>
        <v>10.8</v>
      </c>
      <c r="AC9" s="12">
        <f t="shared" si="5"/>
        <v>28012.500000000004</v>
      </c>
      <c r="AD9" s="12">
        <f t="shared" si="6"/>
        <v>5602.5000000000036</v>
      </c>
      <c r="AE9" s="13">
        <f t="shared" si="7"/>
        <v>0.20000000000000009</v>
      </c>
    </row>
    <row r="10" spans="2:36" x14ac:dyDescent="0.25">
      <c r="B10" s="4"/>
      <c r="C10" s="1" t="s">
        <v>47</v>
      </c>
      <c r="D10" s="1" t="s">
        <v>51</v>
      </c>
      <c r="E10" s="3" t="s">
        <v>77</v>
      </c>
      <c r="F10" s="3"/>
      <c r="G10" s="24"/>
      <c r="H10" s="24"/>
      <c r="J10" s="1" t="s">
        <v>53</v>
      </c>
      <c r="K10" s="4"/>
      <c r="L10" s="4"/>
      <c r="M10" s="4"/>
      <c r="N10" s="4"/>
      <c r="O10" s="4"/>
      <c r="P10" s="33"/>
      <c r="Q10" s="25">
        <v>0</v>
      </c>
      <c r="R10" s="25">
        <v>0</v>
      </c>
      <c r="S10" s="12">
        <f t="shared" si="0"/>
        <v>0</v>
      </c>
      <c r="T10" s="5">
        <v>0</v>
      </c>
      <c r="U10" s="12">
        <f t="shared" si="1"/>
        <v>0</v>
      </c>
      <c r="V10" s="25" t="s">
        <v>10</v>
      </c>
      <c r="W10" s="11">
        <f>IFERROR(VLOOKUP(V10,Curr!$B$2:$C$13,2,FALSE),0)</f>
        <v>10.8</v>
      </c>
      <c r="X10" s="12">
        <f t="shared" si="2"/>
        <v>0</v>
      </c>
      <c r="Y10" s="26">
        <f t="shared" ref="Y10:Y36" si="8">Q10</f>
        <v>0</v>
      </c>
      <c r="Z10" s="12">
        <f t="shared" si="4"/>
        <v>0</v>
      </c>
      <c r="AA10" s="4" t="s">
        <v>10</v>
      </c>
      <c r="AB10" s="11">
        <f>IFERROR(VLOOKUP(AA10,Curr!$B$2:$C$13,2,FALSE),0)</f>
        <v>10.8</v>
      </c>
      <c r="AC10" s="12">
        <f t="shared" si="5"/>
        <v>0</v>
      </c>
      <c r="AD10" s="12">
        <f t="shared" si="6"/>
        <v>0</v>
      </c>
      <c r="AE10" s="13">
        <f t="shared" si="7"/>
        <v>0</v>
      </c>
    </row>
    <row r="11" spans="2:36" x14ac:dyDescent="0.25">
      <c r="B11" s="4"/>
      <c r="C11" s="1" t="s">
        <v>47</v>
      </c>
      <c r="D11" s="1" t="s">
        <v>56</v>
      </c>
      <c r="E11" s="3" t="s">
        <v>77</v>
      </c>
      <c r="F11" s="3"/>
      <c r="G11" s="24"/>
      <c r="H11" s="24"/>
      <c r="J11" s="1" t="s">
        <v>150</v>
      </c>
      <c r="K11" s="4"/>
      <c r="L11" s="4"/>
      <c r="M11" s="4"/>
      <c r="N11" s="4"/>
      <c r="O11" s="4"/>
      <c r="P11" s="33" t="s">
        <v>73</v>
      </c>
      <c r="Q11" s="25">
        <v>127</v>
      </c>
      <c r="R11" s="25">
        <v>4</v>
      </c>
      <c r="S11" s="12">
        <f t="shared" ref="S11" si="9">+Q11*R11</f>
        <v>508</v>
      </c>
      <c r="T11" s="5">
        <v>0.25</v>
      </c>
      <c r="U11" s="12">
        <f t="shared" ref="U11" si="10">S11*(1-T11)</f>
        <v>381</v>
      </c>
      <c r="V11" s="25" t="s">
        <v>10</v>
      </c>
      <c r="W11" s="11">
        <f>IFERROR(VLOOKUP(V11,Curr!$B$2:$C$13,2,FALSE),0)</f>
        <v>10.8</v>
      </c>
      <c r="X11" s="12">
        <f t="shared" ref="X11" si="11">U11*W11</f>
        <v>4114.8</v>
      </c>
      <c r="Y11" s="26">
        <f t="shared" ref="Y11" si="12">Q11</f>
        <v>127</v>
      </c>
      <c r="Z11" s="12">
        <f t="shared" ref="Z11" si="13">+Y11*R11</f>
        <v>508</v>
      </c>
      <c r="AA11" s="4" t="s">
        <v>10</v>
      </c>
      <c r="AB11" s="11">
        <f>IFERROR(VLOOKUP(AA11,Curr!$B$2:$C$13,2,FALSE),0)</f>
        <v>10.8</v>
      </c>
      <c r="AC11" s="12">
        <f t="shared" ref="AC11" si="14">+Y11*AB11*R11</f>
        <v>5486.4000000000005</v>
      </c>
      <c r="AD11" s="12">
        <f t="shared" ref="AD11" si="15">+AC11-X11</f>
        <v>1371.6000000000004</v>
      </c>
      <c r="AE11" s="13">
        <f t="shared" ref="AE11" si="16">IFERROR(AD11/AC11,0)</f>
        <v>0.25000000000000006</v>
      </c>
    </row>
    <row r="12" spans="2:36" x14ac:dyDescent="0.25">
      <c r="B12" s="4"/>
      <c r="E12" s="3"/>
      <c r="F12" s="3"/>
      <c r="G12" s="24"/>
      <c r="H12" s="24"/>
      <c r="K12" s="4"/>
      <c r="L12" s="4"/>
      <c r="M12" s="4"/>
      <c r="N12" s="4"/>
      <c r="O12" s="4"/>
      <c r="P12" s="33"/>
      <c r="Q12" s="25"/>
      <c r="R12" s="25"/>
      <c r="S12" s="12">
        <f t="shared" si="0"/>
        <v>0</v>
      </c>
      <c r="T12" s="5">
        <v>0</v>
      </c>
      <c r="U12" s="12">
        <f t="shared" si="1"/>
        <v>0</v>
      </c>
      <c r="V12" s="25" t="s">
        <v>10</v>
      </c>
      <c r="W12" s="11">
        <f>IFERROR(VLOOKUP(V12,Curr!$B$2:$C$13,2,FALSE),0)</f>
        <v>10.8</v>
      </c>
      <c r="X12" s="12">
        <f t="shared" si="2"/>
        <v>0</v>
      </c>
      <c r="Y12" s="26">
        <f t="shared" si="8"/>
        <v>0</v>
      </c>
      <c r="Z12" s="12">
        <f t="shared" si="4"/>
        <v>0</v>
      </c>
      <c r="AA12" s="4" t="s">
        <v>10</v>
      </c>
      <c r="AB12" s="11">
        <f>IFERROR(VLOOKUP(AA12,Curr!$B$2:$C$13,2,FALSE),0)</f>
        <v>10.8</v>
      </c>
      <c r="AC12" s="12">
        <f t="shared" si="5"/>
        <v>0</v>
      </c>
      <c r="AD12" s="12">
        <f t="shared" si="6"/>
        <v>0</v>
      </c>
      <c r="AE12" s="13">
        <f t="shared" si="7"/>
        <v>0</v>
      </c>
    </row>
    <row r="13" spans="2:36" x14ac:dyDescent="0.25">
      <c r="B13" s="4"/>
      <c r="C13" s="1" t="s">
        <v>55</v>
      </c>
      <c r="D13" s="1" t="s">
        <v>56</v>
      </c>
      <c r="E13" s="3" t="s">
        <v>79</v>
      </c>
      <c r="F13" s="3"/>
      <c r="G13" s="24"/>
      <c r="H13" s="24"/>
      <c r="J13" s="1" t="s">
        <v>149</v>
      </c>
      <c r="K13" s="4"/>
      <c r="L13" s="4"/>
      <c r="M13" s="4"/>
      <c r="N13" s="4"/>
      <c r="O13" s="4"/>
      <c r="P13" s="33" t="s">
        <v>71</v>
      </c>
      <c r="Q13" s="25">
        <v>35</v>
      </c>
      <c r="R13" s="25">
        <v>4</v>
      </c>
      <c r="S13" s="12">
        <f t="shared" si="0"/>
        <v>140</v>
      </c>
      <c r="T13" s="5">
        <v>0.2</v>
      </c>
      <c r="U13" s="12">
        <f t="shared" si="1"/>
        <v>112</v>
      </c>
      <c r="V13" s="25" t="s">
        <v>10</v>
      </c>
      <c r="W13" s="11">
        <f>IFERROR(VLOOKUP(V13,Curr!$B$2:$C$13,2,FALSE),0)</f>
        <v>10.8</v>
      </c>
      <c r="X13" s="12">
        <f t="shared" si="2"/>
        <v>1209.6000000000001</v>
      </c>
      <c r="Y13" s="26">
        <f>Q13/0.8</f>
        <v>43.75</v>
      </c>
      <c r="Z13" s="12">
        <f t="shared" si="4"/>
        <v>175</v>
      </c>
      <c r="AA13" s="4" t="s">
        <v>10</v>
      </c>
      <c r="AB13" s="11">
        <f>IFERROR(VLOOKUP(AA13,Curr!$B$2:$C$13,2,FALSE),0)</f>
        <v>10.8</v>
      </c>
      <c r="AC13" s="12">
        <f t="shared" si="5"/>
        <v>1890.0000000000002</v>
      </c>
      <c r="AD13" s="12">
        <f t="shared" si="6"/>
        <v>680.40000000000009</v>
      </c>
      <c r="AE13" s="13">
        <f t="shared" si="7"/>
        <v>0.36</v>
      </c>
    </row>
    <row r="14" spans="2:36" x14ac:dyDescent="0.25">
      <c r="B14" s="4"/>
      <c r="C14" s="1" t="s">
        <v>55</v>
      </c>
      <c r="D14" s="1" t="s">
        <v>51</v>
      </c>
      <c r="E14" s="3" t="s">
        <v>79</v>
      </c>
      <c r="F14" s="3"/>
      <c r="G14" s="24"/>
      <c r="H14" s="24"/>
      <c r="J14" s="1" t="s">
        <v>53</v>
      </c>
      <c r="K14" s="4"/>
      <c r="L14" s="4"/>
      <c r="M14" s="4"/>
      <c r="N14" s="4"/>
      <c r="O14" s="4"/>
      <c r="P14" s="33"/>
      <c r="Q14" s="25">
        <v>0</v>
      </c>
      <c r="R14" s="25">
        <v>0</v>
      </c>
      <c r="S14" s="12">
        <f t="shared" si="0"/>
        <v>0</v>
      </c>
      <c r="T14" s="5">
        <v>0</v>
      </c>
      <c r="U14" s="12">
        <f t="shared" si="1"/>
        <v>0</v>
      </c>
      <c r="V14" s="25" t="s">
        <v>10</v>
      </c>
      <c r="W14" s="11">
        <f>IFERROR(VLOOKUP(V14,Curr!$B$2:$C$13,2,FALSE),0)</f>
        <v>10.8</v>
      </c>
      <c r="X14" s="12">
        <f t="shared" si="2"/>
        <v>0</v>
      </c>
      <c r="Y14" s="26">
        <f t="shared" si="8"/>
        <v>0</v>
      </c>
      <c r="Z14" s="12">
        <f t="shared" si="4"/>
        <v>0</v>
      </c>
      <c r="AA14" s="4" t="s">
        <v>10</v>
      </c>
      <c r="AB14" s="11">
        <f>IFERROR(VLOOKUP(AA14,Curr!$B$2:$C$13,2,FALSE),0)</f>
        <v>10.8</v>
      </c>
      <c r="AC14" s="12">
        <f t="shared" si="5"/>
        <v>0</v>
      </c>
      <c r="AD14" s="12">
        <f t="shared" si="6"/>
        <v>0</v>
      </c>
      <c r="AE14" s="13">
        <f t="shared" si="7"/>
        <v>0</v>
      </c>
    </row>
    <row r="15" spans="2:36" x14ac:dyDescent="0.25">
      <c r="B15" s="4"/>
      <c r="E15" s="3"/>
      <c r="F15" s="3"/>
      <c r="G15" s="24"/>
      <c r="H15" s="24"/>
      <c r="K15" s="4"/>
      <c r="L15" s="4"/>
      <c r="M15" s="4"/>
      <c r="N15" s="4"/>
      <c r="O15" s="4"/>
      <c r="P15" s="33"/>
      <c r="Q15" s="25"/>
      <c r="R15" s="25"/>
      <c r="S15" s="12">
        <f t="shared" si="0"/>
        <v>0</v>
      </c>
      <c r="T15" s="5">
        <v>0</v>
      </c>
      <c r="U15" s="12">
        <f t="shared" si="1"/>
        <v>0</v>
      </c>
      <c r="V15" s="25" t="s">
        <v>10</v>
      </c>
      <c r="W15" s="11">
        <f>IFERROR(VLOOKUP(V15,Curr!$B$2:$C$13,2,FALSE),0)</f>
        <v>10.8</v>
      </c>
      <c r="X15" s="12">
        <f t="shared" si="2"/>
        <v>0</v>
      </c>
      <c r="Y15" s="26">
        <f t="shared" si="8"/>
        <v>0</v>
      </c>
      <c r="Z15" s="12">
        <f t="shared" si="4"/>
        <v>0</v>
      </c>
      <c r="AA15" s="4" t="s">
        <v>10</v>
      </c>
      <c r="AB15" s="11">
        <f>IFERROR(VLOOKUP(AA15,Curr!$B$2:$C$13,2,FALSE),0)</f>
        <v>10.8</v>
      </c>
      <c r="AC15" s="12">
        <f t="shared" si="5"/>
        <v>0</v>
      </c>
      <c r="AD15" s="12">
        <f t="shared" si="6"/>
        <v>0</v>
      </c>
      <c r="AE15" s="13">
        <f t="shared" si="7"/>
        <v>0</v>
      </c>
    </row>
    <row r="16" spans="2:36" x14ac:dyDescent="0.25">
      <c r="B16" s="4"/>
      <c r="C16" s="1" t="s">
        <v>57</v>
      </c>
      <c r="D16" s="1" t="s">
        <v>49</v>
      </c>
      <c r="E16" s="3" t="s">
        <v>82</v>
      </c>
      <c r="F16" s="3"/>
      <c r="G16" s="24"/>
      <c r="H16" s="24"/>
      <c r="J16" s="1" t="s">
        <v>182</v>
      </c>
      <c r="K16" s="4"/>
      <c r="L16" s="4"/>
      <c r="M16" s="4"/>
      <c r="N16" s="4"/>
      <c r="O16" s="4"/>
      <c r="P16" s="33"/>
      <c r="Q16" s="25">
        <v>0</v>
      </c>
      <c r="R16" s="25">
        <v>0</v>
      </c>
      <c r="S16" s="12">
        <f t="shared" si="0"/>
        <v>0</v>
      </c>
      <c r="T16" s="5">
        <v>0</v>
      </c>
      <c r="U16" s="12">
        <f t="shared" si="1"/>
        <v>0</v>
      </c>
      <c r="V16" s="25" t="s">
        <v>10</v>
      </c>
      <c r="W16" s="11">
        <f>IFERROR(VLOOKUP(V16,Curr!$B$2:$C$13,2,FALSE),0)</f>
        <v>10.8</v>
      </c>
      <c r="X16" s="12">
        <f t="shared" si="2"/>
        <v>0</v>
      </c>
      <c r="Y16" s="26">
        <f t="shared" si="8"/>
        <v>0</v>
      </c>
      <c r="Z16" s="12">
        <f t="shared" si="4"/>
        <v>0</v>
      </c>
      <c r="AA16" s="4" t="s">
        <v>10</v>
      </c>
      <c r="AB16" s="11">
        <f>IFERROR(VLOOKUP(AA16,Curr!$B$2:$C$13,2,FALSE),0)</f>
        <v>10.8</v>
      </c>
      <c r="AC16" s="12">
        <f t="shared" si="5"/>
        <v>0</v>
      </c>
      <c r="AD16" s="12">
        <f t="shared" si="6"/>
        <v>0</v>
      </c>
      <c r="AE16" s="13">
        <f t="shared" si="7"/>
        <v>0</v>
      </c>
    </row>
    <row r="17" spans="2:31" x14ac:dyDescent="0.25">
      <c r="B17" s="4"/>
      <c r="C17" s="1" t="s">
        <v>57</v>
      </c>
      <c r="D17" s="1" t="s">
        <v>74</v>
      </c>
      <c r="E17" s="3" t="s">
        <v>82</v>
      </c>
      <c r="F17" s="3" t="s">
        <v>59</v>
      </c>
      <c r="G17" s="24"/>
      <c r="H17" s="24"/>
      <c r="J17" s="1" t="s">
        <v>194</v>
      </c>
      <c r="K17" s="4"/>
      <c r="L17" s="4"/>
      <c r="M17" s="4"/>
      <c r="N17" s="4"/>
      <c r="O17" s="4"/>
      <c r="P17" s="33" t="s">
        <v>221</v>
      </c>
      <c r="Q17" s="25">
        <v>564</v>
      </c>
      <c r="R17" s="25">
        <v>1</v>
      </c>
      <c r="S17" s="12">
        <f t="shared" si="0"/>
        <v>564</v>
      </c>
      <c r="T17" s="5">
        <v>0</v>
      </c>
      <c r="U17" s="12">
        <f t="shared" si="1"/>
        <v>564</v>
      </c>
      <c r="V17" s="25" t="s">
        <v>10</v>
      </c>
      <c r="W17" s="11">
        <f>IFERROR(VLOOKUP(V17,Curr!$B$2:$C$13,2,FALSE),0)</f>
        <v>10.8</v>
      </c>
      <c r="X17" s="12">
        <f t="shared" si="2"/>
        <v>6091.2000000000007</v>
      </c>
      <c r="Y17" s="26">
        <f>Q17/0.8</f>
        <v>705</v>
      </c>
      <c r="Z17" s="12">
        <f t="shared" si="4"/>
        <v>705</v>
      </c>
      <c r="AA17" s="4" t="s">
        <v>10</v>
      </c>
      <c r="AB17" s="11">
        <f>IFERROR(VLOOKUP(AA17,Curr!$B$2:$C$13,2,FALSE),0)</f>
        <v>10.8</v>
      </c>
      <c r="AC17" s="12">
        <f t="shared" si="5"/>
        <v>7614.0000000000009</v>
      </c>
      <c r="AD17" s="12">
        <f t="shared" si="6"/>
        <v>1522.8000000000002</v>
      </c>
      <c r="AE17" s="13">
        <f t="shared" si="7"/>
        <v>0.2</v>
      </c>
    </row>
    <row r="18" spans="2:31" x14ac:dyDescent="0.25">
      <c r="B18" s="4"/>
      <c r="C18" s="1" t="s">
        <v>57</v>
      </c>
      <c r="D18" s="1" t="s">
        <v>75</v>
      </c>
      <c r="E18" s="3" t="s">
        <v>82</v>
      </c>
      <c r="F18" s="3"/>
      <c r="G18" s="24"/>
      <c r="H18" s="24"/>
      <c r="J18" s="1" t="s">
        <v>218</v>
      </c>
      <c r="K18" s="4"/>
      <c r="L18" s="4"/>
      <c r="M18" s="4"/>
      <c r="N18" s="4"/>
      <c r="O18" s="4"/>
      <c r="P18" s="33"/>
      <c r="Q18" s="25">
        <v>0</v>
      </c>
      <c r="R18" s="25">
        <v>0</v>
      </c>
      <c r="S18" s="12">
        <f t="shared" si="0"/>
        <v>0</v>
      </c>
      <c r="T18" s="5">
        <v>0</v>
      </c>
      <c r="U18" s="12">
        <f t="shared" si="1"/>
        <v>0</v>
      </c>
      <c r="V18" s="25" t="s">
        <v>10</v>
      </c>
      <c r="W18" s="11">
        <f>IFERROR(VLOOKUP(V18,Curr!$B$2:$C$13,2,FALSE),0)</f>
        <v>10.8</v>
      </c>
      <c r="X18" s="12">
        <f t="shared" si="2"/>
        <v>0</v>
      </c>
      <c r="Y18" s="26">
        <f t="shared" si="8"/>
        <v>0</v>
      </c>
      <c r="Z18" s="12">
        <f t="shared" si="4"/>
        <v>0</v>
      </c>
      <c r="AA18" s="4" t="s">
        <v>10</v>
      </c>
      <c r="AB18" s="11">
        <f>IFERROR(VLOOKUP(AA18,Curr!$B$2:$C$13,2,FALSE),0)</f>
        <v>10.8</v>
      </c>
      <c r="AC18" s="12">
        <f t="shared" si="5"/>
        <v>0</v>
      </c>
      <c r="AD18" s="12">
        <f t="shared" si="6"/>
        <v>0</v>
      </c>
      <c r="AE18" s="13">
        <f t="shared" si="7"/>
        <v>0</v>
      </c>
    </row>
    <row r="19" spans="2:31" x14ac:dyDescent="0.25">
      <c r="B19" s="4"/>
      <c r="C19" s="1" t="s">
        <v>57</v>
      </c>
      <c r="D19" s="1" t="s">
        <v>50</v>
      </c>
      <c r="E19" s="3" t="s">
        <v>82</v>
      </c>
      <c r="F19" s="3" t="s">
        <v>213</v>
      </c>
      <c r="G19" s="24"/>
      <c r="H19" s="24"/>
      <c r="J19" s="1" t="s">
        <v>219</v>
      </c>
      <c r="K19" s="4"/>
      <c r="L19" s="4"/>
      <c r="M19" s="4"/>
      <c r="N19" s="4"/>
      <c r="O19" s="4"/>
      <c r="P19" s="33" t="s">
        <v>220</v>
      </c>
      <c r="Q19" s="25">
        <v>607</v>
      </c>
      <c r="R19" s="25">
        <v>1</v>
      </c>
      <c r="S19" s="12">
        <f t="shared" si="0"/>
        <v>607</v>
      </c>
      <c r="T19" s="5">
        <v>0</v>
      </c>
      <c r="U19" s="12">
        <f t="shared" si="1"/>
        <v>607</v>
      </c>
      <c r="V19" s="25" t="s">
        <v>10</v>
      </c>
      <c r="W19" s="11">
        <f>IFERROR(VLOOKUP(V19,Curr!$B$2:$C$13,2,FALSE),0)</f>
        <v>10.8</v>
      </c>
      <c r="X19" s="12">
        <f t="shared" si="2"/>
        <v>6555.6</v>
      </c>
      <c r="Y19" s="26">
        <f>Q19/0.8</f>
        <v>758.75</v>
      </c>
      <c r="Z19" s="12">
        <f t="shared" si="4"/>
        <v>758.75</v>
      </c>
      <c r="AA19" s="4" t="s">
        <v>10</v>
      </c>
      <c r="AB19" s="11">
        <f>IFERROR(VLOOKUP(AA19,Curr!$B$2:$C$13,2,FALSE),0)</f>
        <v>10.8</v>
      </c>
      <c r="AC19" s="12">
        <f t="shared" si="5"/>
        <v>8194.5</v>
      </c>
      <c r="AD19" s="12">
        <f t="shared" si="6"/>
        <v>1638.8999999999996</v>
      </c>
      <c r="AE19" s="13">
        <f t="shared" si="7"/>
        <v>0.19999999999999996</v>
      </c>
    </row>
    <row r="20" spans="2:31" x14ac:dyDescent="0.25">
      <c r="B20" s="4"/>
      <c r="C20" s="1" t="s">
        <v>57</v>
      </c>
      <c r="D20" s="1" t="s">
        <v>51</v>
      </c>
      <c r="E20" s="3" t="s">
        <v>82</v>
      </c>
      <c r="F20" s="3"/>
      <c r="G20" s="24"/>
      <c r="H20" s="24"/>
      <c r="J20" s="1" t="s">
        <v>185</v>
      </c>
      <c r="K20" s="4"/>
      <c r="L20" s="4"/>
      <c r="M20" s="4"/>
      <c r="N20" s="4"/>
      <c r="O20" s="4"/>
      <c r="P20" s="33"/>
      <c r="Q20" s="25">
        <v>0</v>
      </c>
      <c r="R20" s="25">
        <v>0</v>
      </c>
      <c r="S20" s="12">
        <f t="shared" si="0"/>
        <v>0</v>
      </c>
      <c r="T20" s="5">
        <v>0</v>
      </c>
      <c r="U20" s="12">
        <f t="shared" si="1"/>
        <v>0</v>
      </c>
      <c r="V20" s="25" t="s">
        <v>10</v>
      </c>
      <c r="W20" s="11">
        <f>IFERROR(VLOOKUP(V20,Curr!$B$2:$C$13,2,FALSE),0)</f>
        <v>10.8</v>
      </c>
      <c r="X20" s="12">
        <f t="shared" si="2"/>
        <v>0</v>
      </c>
      <c r="Y20" s="26">
        <f t="shared" si="8"/>
        <v>0</v>
      </c>
      <c r="Z20" s="12">
        <f t="shared" si="4"/>
        <v>0</v>
      </c>
      <c r="AA20" s="4" t="s">
        <v>10</v>
      </c>
      <c r="AB20" s="11">
        <f>IFERROR(VLOOKUP(AA20,Curr!$B$2:$C$13,2,FALSE),0)</f>
        <v>10.8</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10.8</v>
      </c>
      <c r="X21" s="12">
        <f t="shared" si="2"/>
        <v>0</v>
      </c>
      <c r="Y21" s="26">
        <f>Q21/0.8</f>
        <v>0</v>
      </c>
      <c r="Z21" s="12">
        <f t="shared" si="4"/>
        <v>0</v>
      </c>
      <c r="AA21" s="4" t="s">
        <v>10</v>
      </c>
      <c r="AB21" s="11">
        <f>IFERROR(VLOOKUP(AA21,Curr!$B$2:$C$13,2,FALSE),0)</f>
        <v>10.8</v>
      </c>
      <c r="AC21" s="12">
        <f t="shared" si="5"/>
        <v>0</v>
      </c>
      <c r="AD21" s="12">
        <f t="shared" si="6"/>
        <v>0</v>
      </c>
      <c r="AE21" s="13">
        <f t="shared" si="7"/>
        <v>0</v>
      </c>
    </row>
    <row r="22" spans="2:31" x14ac:dyDescent="0.25">
      <c r="B22" s="4"/>
      <c r="C22" s="1" t="s">
        <v>60</v>
      </c>
      <c r="D22" s="1" t="s">
        <v>75</v>
      </c>
      <c r="E22" s="3" t="s">
        <v>213</v>
      </c>
      <c r="F22" s="3"/>
      <c r="G22" s="24"/>
      <c r="H22" s="24"/>
      <c r="J22" s="1" t="s">
        <v>222</v>
      </c>
      <c r="K22" s="4"/>
      <c r="L22" s="4"/>
      <c r="M22" s="4"/>
      <c r="N22" s="4"/>
      <c r="O22" s="4"/>
      <c r="P22" s="33"/>
      <c r="Q22" s="25">
        <v>0</v>
      </c>
      <c r="R22" s="25">
        <v>0</v>
      </c>
      <c r="S22" s="12">
        <f t="shared" si="0"/>
        <v>0</v>
      </c>
      <c r="T22" s="5">
        <v>0</v>
      </c>
      <c r="U22" s="12">
        <f t="shared" si="1"/>
        <v>0</v>
      </c>
      <c r="V22" s="25" t="s">
        <v>10</v>
      </c>
      <c r="W22" s="11">
        <f>IFERROR(VLOOKUP(V22,Curr!$B$2:$C$13,2,FALSE),0)</f>
        <v>10.8</v>
      </c>
      <c r="X22" s="12">
        <f t="shared" si="2"/>
        <v>0</v>
      </c>
      <c r="Y22" s="26">
        <f t="shared" si="8"/>
        <v>0</v>
      </c>
      <c r="Z22" s="12">
        <f t="shared" si="4"/>
        <v>0</v>
      </c>
      <c r="AA22" s="4" t="s">
        <v>10</v>
      </c>
      <c r="AB22" s="11">
        <f>IFERROR(VLOOKUP(AA22,Curr!$B$2:$C$13,2,FALSE),0)</f>
        <v>10.8</v>
      </c>
      <c r="AC22" s="12">
        <f t="shared" si="5"/>
        <v>0</v>
      </c>
      <c r="AD22" s="12">
        <f t="shared" si="6"/>
        <v>0</v>
      </c>
      <c r="AE22" s="13">
        <f t="shared" si="7"/>
        <v>0</v>
      </c>
    </row>
    <row r="23" spans="2:31" x14ac:dyDescent="0.25">
      <c r="B23" s="4"/>
      <c r="C23" s="1" t="s">
        <v>60</v>
      </c>
      <c r="D23" s="1" t="s">
        <v>50</v>
      </c>
      <c r="E23" s="3" t="s">
        <v>213</v>
      </c>
      <c r="F23" s="3" t="s">
        <v>58</v>
      </c>
      <c r="G23" s="24"/>
      <c r="H23" s="24"/>
      <c r="J23" s="1" t="s">
        <v>138</v>
      </c>
      <c r="K23" s="4"/>
      <c r="L23" s="4"/>
      <c r="M23" s="4"/>
      <c r="N23" s="4"/>
      <c r="O23" s="4"/>
      <c r="P23" s="33" t="s">
        <v>215</v>
      </c>
      <c r="Q23" s="25">
        <v>2976</v>
      </c>
      <c r="R23" s="25">
        <v>1</v>
      </c>
      <c r="S23" s="12">
        <f t="shared" si="0"/>
        <v>2976</v>
      </c>
      <c r="T23" s="5">
        <v>0</v>
      </c>
      <c r="U23" s="12">
        <f t="shared" si="1"/>
        <v>2976</v>
      </c>
      <c r="V23" s="25" t="s">
        <v>10</v>
      </c>
      <c r="W23" s="11">
        <f>IFERROR(VLOOKUP(V23,Curr!$B$2:$C$13,2,FALSE),0)</f>
        <v>10.8</v>
      </c>
      <c r="X23" s="12">
        <f t="shared" si="2"/>
        <v>32140.800000000003</v>
      </c>
      <c r="Y23" s="26">
        <f>Q23/0.85</f>
        <v>3501.1764705882356</v>
      </c>
      <c r="Z23" s="12">
        <f t="shared" si="4"/>
        <v>3501.1764705882356</v>
      </c>
      <c r="AA23" s="4" t="s">
        <v>10</v>
      </c>
      <c r="AB23" s="11">
        <f>IFERROR(VLOOKUP(AA23,Curr!$B$2:$C$13,2,FALSE),0)</f>
        <v>10.8</v>
      </c>
      <c r="AC23" s="12">
        <f t="shared" si="5"/>
        <v>37812.705882352944</v>
      </c>
      <c r="AD23" s="12">
        <f t="shared" si="6"/>
        <v>5671.9058823529413</v>
      </c>
      <c r="AE23" s="13">
        <f t="shared" si="7"/>
        <v>0.15</v>
      </c>
    </row>
    <row r="24" spans="2:31" x14ac:dyDescent="0.25">
      <c r="B24" s="4"/>
      <c r="C24" s="1" t="s">
        <v>60</v>
      </c>
      <c r="D24" s="1" t="s">
        <v>56</v>
      </c>
      <c r="E24" s="3" t="s">
        <v>213</v>
      </c>
      <c r="F24" s="3"/>
      <c r="G24" s="24"/>
      <c r="H24" s="24"/>
      <c r="J24" s="1" t="s">
        <v>143</v>
      </c>
      <c r="K24" s="4"/>
      <c r="L24" s="4"/>
      <c r="M24" s="4"/>
      <c r="N24" s="4"/>
      <c r="O24" s="4"/>
      <c r="P24" s="33" t="s">
        <v>72</v>
      </c>
      <c r="Q24" s="25">
        <v>46</v>
      </c>
      <c r="R24" s="25">
        <v>4</v>
      </c>
      <c r="S24" s="12">
        <f t="shared" ref="S24" si="17">+Q24*R24</f>
        <v>184</v>
      </c>
      <c r="T24" s="5">
        <v>0.2</v>
      </c>
      <c r="U24" s="12">
        <f t="shared" ref="U24" si="18">S24*(1-T24)</f>
        <v>147.20000000000002</v>
      </c>
      <c r="V24" s="25" t="s">
        <v>10</v>
      </c>
      <c r="W24" s="11">
        <f>IFERROR(VLOOKUP(V24,Curr!$B$2:$C$13,2,FALSE),0)</f>
        <v>10.8</v>
      </c>
      <c r="X24" s="12">
        <f t="shared" ref="X24" si="19">U24*W24</f>
        <v>1589.7600000000002</v>
      </c>
      <c r="Y24" s="26">
        <f>Q24/0.9</f>
        <v>51.111111111111107</v>
      </c>
      <c r="Z24" s="12">
        <f t="shared" ref="Z24" si="20">+Y24*R24</f>
        <v>204.44444444444443</v>
      </c>
      <c r="AA24" s="4" t="s">
        <v>10</v>
      </c>
      <c r="AB24" s="11">
        <f>IFERROR(VLOOKUP(AA24,Curr!$B$2:$C$13,2,FALSE),0)</f>
        <v>10.8</v>
      </c>
      <c r="AC24" s="12">
        <f t="shared" ref="AC24" si="21">+Y24*AB24*R24</f>
        <v>2208</v>
      </c>
      <c r="AD24" s="12">
        <f t="shared" ref="AD24" si="22">+AC24-X24</f>
        <v>618.23999999999978</v>
      </c>
      <c r="AE24" s="13">
        <f t="shared" ref="AE24" si="23">IFERROR(AD24/AC24,0)</f>
        <v>0.27999999999999992</v>
      </c>
    </row>
    <row r="25" spans="2:31" x14ac:dyDescent="0.25">
      <c r="B25" s="4"/>
      <c r="C25" s="1" t="s">
        <v>60</v>
      </c>
      <c r="D25" s="1" t="s">
        <v>51</v>
      </c>
      <c r="E25" s="3" t="s">
        <v>213</v>
      </c>
      <c r="F25" s="3"/>
      <c r="G25" s="24"/>
      <c r="H25" s="24"/>
      <c r="J25" s="1" t="s">
        <v>87</v>
      </c>
      <c r="K25" s="4"/>
      <c r="L25" s="4"/>
      <c r="M25" s="4"/>
      <c r="N25" s="4"/>
      <c r="O25" s="4"/>
      <c r="P25" s="33"/>
      <c r="Q25" s="25">
        <v>0</v>
      </c>
      <c r="R25" s="25">
        <v>0</v>
      </c>
      <c r="S25" s="12">
        <f t="shared" si="0"/>
        <v>0</v>
      </c>
      <c r="T25" s="5">
        <v>0</v>
      </c>
      <c r="U25" s="12">
        <f t="shared" si="1"/>
        <v>0</v>
      </c>
      <c r="V25" s="25" t="s">
        <v>10</v>
      </c>
      <c r="W25" s="11">
        <f>IFERROR(VLOOKUP(V25,Curr!$B$2:$C$13,2,FALSE),0)</f>
        <v>10.8</v>
      </c>
      <c r="X25" s="12">
        <f t="shared" si="2"/>
        <v>0</v>
      </c>
      <c r="Y25" s="26">
        <f t="shared" si="8"/>
        <v>0</v>
      </c>
      <c r="Z25" s="12">
        <f t="shared" si="4"/>
        <v>0</v>
      </c>
      <c r="AA25" s="4" t="s">
        <v>10</v>
      </c>
      <c r="AB25" s="11">
        <f>IFERROR(VLOOKUP(AA25,Curr!$B$2:$C$13,2,FALSE),0)</f>
        <v>10.8</v>
      </c>
      <c r="AC25" s="12">
        <f t="shared" si="5"/>
        <v>0</v>
      </c>
      <c r="AD25" s="12">
        <f t="shared" si="6"/>
        <v>0</v>
      </c>
      <c r="AE25" s="13">
        <f t="shared" si="7"/>
        <v>0</v>
      </c>
    </row>
    <row r="26" spans="2:31" x14ac:dyDescent="0.25">
      <c r="B26" s="4"/>
      <c r="E26" s="3"/>
      <c r="F26" s="3"/>
      <c r="G26" s="24"/>
      <c r="H26" s="24"/>
      <c r="K26" s="4"/>
      <c r="L26" s="4"/>
      <c r="M26" s="4"/>
      <c r="N26" s="4"/>
      <c r="O26" s="4"/>
      <c r="P26" s="33"/>
      <c r="Q26" s="25"/>
      <c r="R26" s="25"/>
      <c r="S26" s="12">
        <f t="shared" si="0"/>
        <v>0</v>
      </c>
      <c r="T26" s="5">
        <v>0</v>
      </c>
      <c r="U26" s="12">
        <f t="shared" si="1"/>
        <v>0</v>
      </c>
      <c r="V26" s="25" t="s">
        <v>10</v>
      </c>
      <c r="W26" s="11">
        <f>IFERROR(VLOOKUP(V26,Curr!$B$2:$C$13,2,FALSE),0)</f>
        <v>10.8</v>
      </c>
      <c r="X26" s="12">
        <f t="shared" si="2"/>
        <v>0</v>
      </c>
      <c r="Y26" s="26">
        <f t="shared" si="8"/>
        <v>0</v>
      </c>
      <c r="Z26" s="12">
        <f t="shared" si="4"/>
        <v>0</v>
      </c>
      <c r="AA26" s="4" t="s">
        <v>10</v>
      </c>
      <c r="AB26" s="11">
        <f>IFERROR(VLOOKUP(AA26,Curr!$B$2:$C$13,2,FALSE),0)</f>
        <v>10.8</v>
      </c>
      <c r="AC26" s="12">
        <f t="shared" si="5"/>
        <v>0</v>
      </c>
      <c r="AD26" s="12">
        <f t="shared" si="6"/>
        <v>0</v>
      </c>
      <c r="AE26" s="13">
        <f t="shared" si="7"/>
        <v>0</v>
      </c>
    </row>
    <row r="27" spans="2:31" x14ac:dyDescent="0.25">
      <c r="B27" s="4"/>
      <c r="C27" s="1" t="s">
        <v>62</v>
      </c>
      <c r="D27" s="1" t="s">
        <v>51</v>
      </c>
      <c r="E27" s="3" t="s">
        <v>91</v>
      </c>
      <c r="F27" s="3"/>
      <c r="G27" s="24"/>
      <c r="H27" s="24"/>
      <c r="J27" s="1" t="s">
        <v>87</v>
      </c>
      <c r="K27" s="4"/>
      <c r="L27" s="4"/>
      <c r="M27" s="4"/>
      <c r="N27" s="4"/>
      <c r="O27" s="4"/>
      <c r="P27" s="33"/>
      <c r="Q27" s="25">
        <v>0</v>
      </c>
      <c r="R27" s="25">
        <v>0</v>
      </c>
      <c r="S27" s="12">
        <f t="shared" si="0"/>
        <v>0</v>
      </c>
      <c r="T27" s="5">
        <v>0</v>
      </c>
      <c r="U27" s="12">
        <f t="shared" si="1"/>
        <v>0</v>
      </c>
      <c r="V27" s="25" t="s">
        <v>10</v>
      </c>
      <c r="W27" s="11">
        <f>IFERROR(VLOOKUP(V27,Curr!$B$2:$C$13,2,FALSE),0)</f>
        <v>10.8</v>
      </c>
      <c r="X27" s="12">
        <f t="shared" si="2"/>
        <v>0</v>
      </c>
      <c r="Y27" s="26">
        <f t="shared" si="8"/>
        <v>0</v>
      </c>
      <c r="Z27" s="12">
        <f t="shared" si="4"/>
        <v>0</v>
      </c>
      <c r="AA27" s="4" t="s">
        <v>10</v>
      </c>
      <c r="AB27" s="11">
        <f>IFERROR(VLOOKUP(AA27,Curr!$B$2:$C$13,2,FALSE),0)</f>
        <v>10.8</v>
      </c>
      <c r="AC27" s="12">
        <f t="shared" si="5"/>
        <v>0</v>
      </c>
      <c r="AD27" s="12">
        <f t="shared" si="6"/>
        <v>0</v>
      </c>
      <c r="AE27" s="13">
        <f t="shared" si="7"/>
        <v>0</v>
      </c>
    </row>
    <row r="28" spans="2:31" x14ac:dyDescent="0.25">
      <c r="B28" s="4"/>
      <c r="C28" s="1" t="s">
        <v>62</v>
      </c>
      <c r="D28" s="1" t="s">
        <v>56</v>
      </c>
      <c r="E28" s="3" t="s">
        <v>91</v>
      </c>
      <c r="F28" s="3"/>
      <c r="G28" s="24"/>
      <c r="H28" s="24"/>
      <c r="J28" s="1" t="s">
        <v>69</v>
      </c>
      <c r="K28" s="4"/>
      <c r="L28" s="4"/>
      <c r="M28" s="4"/>
      <c r="N28" s="4"/>
      <c r="O28" s="4"/>
      <c r="P28" s="33" t="s">
        <v>70</v>
      </c>
      <c r="Q28" s="25">
        <v>204</v>
      </c>
      <c r="R28" s="25">
        <v>4</v>
      </c>
      <c r="S28" s="12">
        <f t="shared" si="0"/>
        <v>816</v>
      </c>
      <c r="T28" s="5">
        <v>0.25</v>
      </c>
      <c r="U28" s="12">
        <f t="shared" si="1"/>
        <v>612</v>
      </c>
      <c r="V28" s="25" t="s">
        <v>10</v>
      </c>
      <c r="W28" s="11">
        <f>IFERROR(VLOOKUP(V28,Curr!$B$2:$C$13,2,FALSE),0)</f>
        <v>10.8</v>
      </c>
      <c r="X28" s="12">
        <f t="shared" si="2"/>
        <v>6609.6</v>
      </c>
      <c r="Y28" s="26">
        <f t="shared" si="8"/>
        <v>204</v>
      </c>
      <c r="Z28" s="12">
        <f t="shared" si="4"/>
        <v>816</v>
      </c>
      <c r="AA28" s="4" t="s">
        <v>10</v>
      </c>
      <c r="AB28" s="11">
        <f>IFERROR(VLOOKUP(AA28,Curr!$B$2:$C$13,2,FALSE),0)</f>
        <v>10.8</v>
      </c>
      <c r="AC28" s="12">
        <f t="shared" si="5"/>
        <v>8812.8000000000011</v>
      </c>
      <c r="AD28" s="12">
        <f t="shared" si="6"/>
        <v>2203.2000000000007</v>
      </c>
      <c r="AE28" s="13">
        <f t="shared" si="7"/>
        <v>0.25000000000000006</v>
      </c>
    </row>
    <row r="29" spans="2:31" x14ac:dyDescent="0.25">
      <c r="B29" s="4"/>
      <c r="E29" s="3"/>
      <c r="F29" s="3"/>
      <c r="G29" s="24"/>
      <c r="H29" s="24"/>
      <c r="K29" s="4"/>
      <c r="L29" s="4"/>
      <c r="M29" s="4"/>
      <c r="N29" s="4"/>
      <c r="O29" s="4"/>
      <c r="P29" s="33"/>
      <c r="Q29" s="25"/>
      <c r="R29" s="25"/>
      <c r="S29" s="12">
        <f t="shared" si="0"/>
        <v>0</v>
      </c>
      <c r="T29" s="5">
        <v>0</v>
      </c>
      <c r="U29" s="12">
        <f t="shared" si="1"/>
        <v>0</v>
      </c>
      <c r="V29" s="25" t="s">
        <v>10</v>
      </c>
      <c r="W29" s="11">
        <f>IFERROR(VLOOKUP(V29,Curr!$B$2:$C$13,2,FALSE),0)</f>
        <v>10.8</v>
      </c>
      <c r="X29" s="12">
        <f t="shared" si="2"/>
        <v>0</v>
      </c>
      <c r="Y29" s="26">
        <f t="shared" si="8"/>
        <v>0</v>
      </c>
      <c r="Z29" s="12">
        <f t="shared" si="4"/>
        <v>0</v>
      </c>
      <c r="AA29" s="4" t="s">
        <v>10</v>
      </c>
      <c r="AB29" s="11">
        <f>IFERROR(VLOOKUP(AA29,Curr!$B$2:$C$13,2,FALSE),0)</f>
        <v>10.8</v>
      </c>
      <c r="AC29" s="12">
        <f t="shared" si="5"/>
        <v>0</v>
      </c>
      <c r="AD29" s="12">
        <f t="shared" si="6"/>
        <v>0</v>
      </c>
      <c r="AE29" s="13">
        <f t="shared" si="7"/>
        <v>0</v>
      </c>
    </row>
    <row r="30" spans="2:31" x14ac:dyDescent="0.25">
      <c r="B30" s="4"/>
      <c r="C30" s="1" t="s">
        <v>65</v>
      </c>
      <c r="D30" s="1" t="s">
        <v>75</v>
      </c>
      <c r="E30" s="3" t="s">
        <v>58</v>
      </c>
      <c r="F30" s="3"/>
      <c r="G30" s="24"/>
      <c r="H30" s="24"/>
      <c r="J30" s="1" t="s">
        <v>223</v>
      </c>
      <c r="K30" s="4"/>
      <c r="L30" s="4"/>
      <c r="M30" s="4"/>
      <c r="N30" s="4"/>
      <c r="O30" s="4"/>
      <c r="P30" s="33"/>
      <c r="Q30" s="25">
        <v>0</v>
      </c>
      <c r="R30" s="25">
        <v>0</v>
      </c>
      <c r="S30" s="12">
        <f t="shared" si="0"/>
        <v>0</v>
      </c>
      <c r="T30" s="5">
        <v>0</v>
      </c>
      <c r="U30" s="12">
        <f t="shared" si="1"/>
        <v>0</v>
      </c>
      <c r="V30" s="25" t="s">
        <v>10</v>
      </c>
      <c r="W30" s="11">
        <f>IFERROR(VLOOKUP(V30,Curr!$B$2:$C$13,2,FALSE),0)</f>
        <v>10.8</v>
      </c>
      <c r="X30" s="12">
        <f t="shared" si="2"/>
        <v>0</v>
      </c>
      <c r="Y30" s="26">
        <f t="shared" si="8"/>
        <v>0</v>
      </c>
      <c r="Z30" s="12">
        <f t="shared" si="4"/>
        <v>0</v>
      </c>
      <c r="AA30" s="4" t="s">
        <v>10</v>
      </c>
      <c r="AB30" s="11">
        <f>IFERROR(VLOOKUP(AA30,Curr!$B$2:$C$13,2,FALSE),0)</f>
        <v>10.8</v>
      </c>
      <c r="AC30" s="12">
        <f t="shared" si="5"/>
        <v>0</v>
      </c>
      <c r="AD30" s="12">
        <f t="shared" si="6"/>
        <v>0</v>
      </c>
      <c r="AE30" s="13">
        <f t="shared" si="7"/>
        <v>0</v>
      </c>
    </row>
    <row r="31" spans="2:31" x14ac:dyDescent="0.25">
      <c r="B31" s="4"/>
      <c r="C31" s="1" t="s">
        <v>65</v>
      </c>
      <c r="D31" s="1" t="s">
        <v>50</v>
      </c>
      <c r="E31" s="3" t="s">
        <v>58</v>
      </c>
      <c r="F31" s="3" t="s">
        <v>59</v>
      </c>
      <c r="G31" s="24"/>
      <c r="H31" s="24"/>
      <c r="J31" s="1" t="s">
        <v>214</v>
      </c>
      <c r="K31" s="4"/>
      <c r="L31" s="4"/>
      <c r="M31" s="4"/>
      <c r="N31" s="4"/>
      <c r="O31" s="4"/>
      <c r="P31" s="33" t="s">
        <v>224</v>
      </c>
      <c r="Q31" s="25">
        <v>1091</v>
      </c>
      <c r="R31" s="25">
        <v>1</v>
      </c>
      <c r="S31" s="12">
        <f t="shared" si="0"/>
        <v>1091</v>
      </c>
      <c r="T31" s="5">
        <v>0</v>
      </c>
      <c r="U31" s="12">
        <f t="shared" si="1"/>
        <v>1091</v>
      </c>
      <c r="V31" s="25" t="s">
        <v>10</v>
      </c>
      <c r="W31" s="11">
        <f>IFERROR(VLOOKUP(V31,Curr!$B$2:$C$13,2,FALSE),0)</f>
        <v>10.8</v>
      </c>
      <c r="X31" s="12">
        <f t="shared" si="2"/>
        <v>11782.800000000001</v>
      </c>
      <c r="Y31" s="26">
        <f>Q31/0.8</f>
        <v>1363.75</v>
      </c>
      <c r="Z31" s="12">
        <f t="shared" si="4"/>
        <v>1363.75</v>
      </c>
      <c r="AA31" s="4" t="s">
        <v>10</v>
      </c>
      <c r="AB31" s="11">
        <f>IFERROR(VLOOKUP(AA31,Curr!$B$2:$C$13,2,FALSE),0)</f>
        <v>10.8</v>
      </c>
      <c r="AC31" s="12">
        <f t="shared" si="5"/>
        <v>14728.500000000002</v>
      </c>
      <c r="AD31" s="12">
        <f t="shared" si="6"/>
        <v>2945.7000000000007</v>
      </c>
      <c r="AE31" s="13">
        <f t="shared" si="7"/>
        <v>0.2</v>
      </c>
    </row>
    <row r="32" spans="2:31" x14ac:dyDescent="0.25">
      <c r="B32" s="4"/>
      <c r="C32" s="1" t="s">
        <v>65</v>
      </c>
      <c r="D32" s="1" t="s">
        <v>51</v>
      </c>
      <c r="E32" s="3" t="s">
        <v>58</v>
      </c>
      <c r="F32" s="3"/>
      <c r="G32" s="24"/>
      <c r="H32" s="24"/>
      <c r="J32" s="1" t="s">
        <v>53</v>
      </c>
      <c r="K32" s="4"/>
      <c r="L32" s="4"/>
      <c r="M32" s="4"/>
      <c r="N32" s="4"/>
      <c r="O32" s="4"/>
      <c r="P32" s="33"/>
      <c r="Q32" s="25">
        <v>0</v>
      </c>
      <c r="R32" s="25">
        <v>0</v>
      </c>
      <c r="S32" s="12">
        <f t="shared" si="0"/>
        <v>0</v>
      </c>
      <c r="T32" s="5">
        <v>0</v>
      </c>
      <c r="U32" s="12">
        <f t="shared" si="1"/>
        <v>0</v>
      </c>
      <c r="V32" s="25" t="s">
        <v>10</v>
      </c>
      <c r="W32" s="11">
        <f>IFERROR(VLOOKUP(V32,Curr!$B$2:$C$13,2,FALSE),0)</f>
        <v>10.8</v>
      </c>
      <c r="X32" s="12">
        <f t="shared" si="2"/>
        <v>0</v>
      </c>
      <c r="Y32" s="26">
        <f t="shared" ref="Y32:Y33" si="24">Q32</f>
        <v>0</v>
      </c>
      <c r="Z32" s="12">
        <f t="shared" si="4"/>
        <v>0</v>
      </c>
      <c r="AA32" s="4" t="s">
        <v>10</v>
      </c>
      <c r="AB32" s="11">
        <f>IFERROR(VLOOKUP(AA32,Curr!$B$2:$C$13,2,FALSE),0)</f>
        <v>10.8</v>
      </c>
      <c r="AC32" s="12">
        <f t="shared" si="5"/>
        <v>0</v>
      </c>
      <c r="AD32" s="12">
        <f t="shared" si="6"/>
        <v>0</v>
      </c>
      <c r="AE32" s="13">
        <f t="shared" si="7"/>
        <v>0</v>
      </c>
    </row>
    <row r="33" spans="2:31" x14ac:dyDescent="0.25">
      <c r="B33" s="4"/>
      <c r="C33" s="1" t="s">
        <v>65</v>
      </c>
      <c r="D33" s="1" t="s">
        <v>56</v>
      </c>
      <c r="E33" s="3" t="s">
        <v>58</v>
      </c>
      <c r="F33" s="3"/>
      <c r="G33" s="24"/>
      <c r="H33" s="24"/>
      <c r="J33" s="1" t="s">
        <v>188</v>
      </c>
      <c r="K33" s="4"/>
      <c r="L33" s="4"/>
      <c r="M33" s="4"/>
      <c r="N33" s="4"/>
      <c r="O33" s="4"/>
      <c r="P33" s="33" t="s">
        <v>148</v>
      </c>
      <c r="Q33" s="25">
        <v>167</v>
      </c>
      <c r="R33" s="25">
        <v>4</v>
      </c>
      <c r="S33" s="12">
        <f t="shared" si="0"/>
        <v>668</v>
      </c>
      <c r="T33" s="5">
        <v>0.2</v>
      </c>
      <c r="U33" s="12">
        <f t="shared" si="1"/>
        <v>534.4</v>
      </c>
      <c r="V33" s="25" t="s">
        <v>10</v>
      </c>
      <c r="W33" s="11">
        <f>IFERROR(VLOOKUP(V33,Curr!$B$2:$C$13,2,FALSE),0)</f>
        <v>10.8</v>
      </c>
      <c r="X33" s="12">
        <f t="shared" si="2"/>
        <v>5771.52</v>
      </c>
      <c r="Y33" s="26">
        <f t="shared" si="24"/>
        <v>167</v>
      </c>
      <c r="Z33" s="12">
        <f t="shared" si="4"/>
        <v>668</v>
      </c>
      <c r="AA33" s="4" t="s">
        <v>10</v>
      </c>
      <c r="AB33" s="11">
        <f>IFERROR(VLOOKUP(AA33,Curr!$B$2:$C$13,2,FALSE),0)</f>
        <v>10.8</v>
      </c>
      <c r="AC33" s="12">
        <f t="shared" si="5"/>
        <v>7214.4000000000005</v>
      </c>
      <c r="AD33" s="12">
        <f t="shared" si="6"/>
        <v>1442.88</v>
      </c>
      <c r="AE33" s="13">
        <f t="shared" si="7"/>
        <v>0.2</v>
      </c>
    </row>
    <row r="34" spans="2:31" x14ac:dyDescent="0.25">
      <c r="B34" s="4"/>
      <c r="E34" s="3"/>
      <c r="F34" s="3"/>
      <c r="G34" s="24"/>
      <c r="H34" s="24"/>
      <c r="K34" s="4"/>
      <c r="L34" s="4"/>
      <c r="M34" s="4"/>
      <c r="N34" s="4"/>
      <c r="O34" s="4"/>
      <c r="P34" s="33"/>
      <c r="Q34" s="25"/>
      <c r="R34" s="25"/>
      <c r="S34" s="12">
        <f t="shared" si="0"/>
        <v>0</v>
      </c>
      <c r="T34" s="5">
        <v>0</v>
      </c>
      <c r="U34" s="12">
        <f t="shared" si="1"/>
        <v>0</v>
      </c>
      <c r="V34" s="25" t="s">
        <v>10</v>
      </c>
      <c r="W34" s="11">
        <f>IFERROR(VLOOKUP(V34,Curr!$B$2:$C$13,2,FALSE),0)</f>
        <v>10.8</v>
      </c>
      <c r="X34" s="12">
        <f t="shared" si="2"/>
        <v>0</v>
      </c>
      <c r="Y34" s="26">
        <f t="shared" si="8"/>
        <v>0</v>
      </c>
      <c r="Z34" s="12">
        <f t="shared" si="4"/>
        <v>0</v>
      </c>
      <c r="AA34" s="4" t="s">
        <v>10</v>
      </c>
      <c r="AB34" s="11">
        <f>IFERROR(VLOOKUP(AA34,Curr!$B$2:$C$13,2,FALSE),0)</f>
        <v>10.8</v>
      </c>
      <c r="AC34" s="12">
        <f t="shared" si="5"/>
        <v>0</v>
      </c>
      <c r="AD34" s="12">
        <f t="shared" si="6"/>
        <v>0</v>
      </c>
      <c r="AE34" s="13">
        <f t="shared" si="7"/>
        <v>0</v>
      </c>
    </row>
    <row r="35" spans="2:31" x14ac:dyDescent="0.25">
      <c r="B35" s="4"/>
      <c r="C35" s="1" t="s">
        <v>66</v>
      </c>
      <c r="D35" s="1" t="s">
        <v>75</v>
      </c>
      <c r="E35" s="3" t="s">
        <v>59</v>
      </c>
      <c r="F35" s="3"/>
      <c r="G35" s="24"/>
      <c r="H35" s="24"/>
      <c r="J35" s="1" t="s">
        <v>96</v>
      </c>
      <c r="K35" s="4"/>
      <c r="L35" s="4"/>
      <c r="M35" s="4"/>
      <c r="N35" s="4"/>
      <c r="O35" s="4"/>
      <c r="P35" s="33"/>
      <c r="Q35" s="25">
        <v>0</v>
      </c>
      <c r="R35" s="25">
        <v>0</v>
      </c>
      <c r="S35" s="12">
        <f t="shared" si="0"/>
        <v>0</v>
      </c>
      <c r="T35" s="5">
        <v>0</v>
      </c>
      <c r="U35" s="12">
        <f t="shared" si="1"/>
        <v>0</v>
      </c>
      <c r="V35" s="25" t="s">
        <v>10</v>
      </c>
      <c r="W35" s="11">
        <f>IFERROR(VLOOKUP(V35,Curr!$B$2:$C$13,2,FALSE),0)</f>
        <v>10.8</v>
      </c>
      <c r="X35" s="12">
        <f t="shared" si="2"/>
        <v>0</v>
      </c>
      <c r="Y35" s="26">
        <f t="shared" si="8"/>
        <v>0</v>
      </c>
      <c r="Z35" s="12">
        <f t="shared" si="4"/>
        <v>0</v>
      </c>
      <c r="AA35" s="4" t="s">
        <v>10</v>
      </c>
      <c r="AB35" s="11">
        <f>IFERROR(VLOOKUP(AA35,Curr!$B$2:$C$13,2,FALSE),0)</f>
        <v>10.8</v>
      </c>
      <c r="AC35" s="12">
        <f t="shared" si="5"/>
        <v>0</v>
      </c>
      <c r="AD35" s="12">
        <f t="shared" si="6"/>
        <v>0</v>
      </c>
      <c r="AE35" s="13">
        <f t="shared" si="7"/>
        <v>0</v>
      </c>
    </row>
    <row r="36" spans="2:31" x14ac:dyDescent="0.25">
      <c r="B36" s="4"/>
      <c r="C36" s="1" t="s">
        <v>66</v>
      </c>
      <c r="D36" s="1" t="s">
        <v>74</v>
      </c>
      <c r="E36" s="3" t="s">
        <v>59</v>
      </c>
      <c r="F36" s="3"/>
      <c r="G36" s="24"/>
      <c r="H36" s="24"/>
      <c r="J36" s="1" t="s">
        <v>98</v>
      </c>
      <c r="K36" s="4"/>
      <c r="L36" s="4"/>
      <c r="M36" s="4"/>
      <c r="N36" s="4"/>
      <c r="O36" s="4"/>
      <c r="P36" s="33"/>
      <c r="Q36" s="25">
        <v>0</v>
      </c>
      <c r="R36" s="25">
        <v>0</v>
      </c>
      <c r="S36" s="12">
        <f t="shared" si="0"/>
        <v>0</v>
      </c>
      <c r="T36" s="5">
        <v>0</v>
      </c>
      <c r="U36" s="12">
        <f t="shared" si="1"/>
        <v>0</v>
      </c>
      <c r="V36" s="25" t="s">
        <v>10</v>
      </c>
      <c r="W36" s="11">
        <f>IFERROR(VLOOKUP(V36,Curr!$B$2:$C$13,2,FALSE),0)</f>
        <v>10.8</v>
      </c>
      <c r="X36" s="12">
        <f t="shared" si="2"/>
        <v>0</v>
      </c>
      <c r="Y36" s="26">
        <f t="shared" si="8"/>
        <v>0</v>
      </c>
      <c r="Z36" s="12">
        <f t="shared" si="4"/>
        <v>0</v>
      </c>
      <c r="AA36" s="4" t="s">
        <v>10</v>
      </c>
      <c r="AB36" s="11">
        <f>IFERROR(VLOOKUP(AA36,Curr!$B$2:$C$13,2,FALSE),0)</f>
        <v>10.8</v>
      </c>
      <c r="AC36" s="12">
        <f t="shared" si="5"/>
        <v>0</v>
      </c>
      <c r="AD36" s="12">
        <f t="shared" si="6"/>
        <v>0</v>
      </c>
      <c r="AE36" s="13">
        <f t="shared" si="7"/>
        <v>0</v>
      </c>
    </row>
    <row r="37" spans="2:31" x14ac:dyDescent="0.25">
      <c r="B37" s="4"/>
      <c r="C37" s="1" t="s">
        <v>66</v>
      </c>
      <c r="D37" s="1" t="s">
        <v>76</v>
      </c>
      <c r="E37" s="3" t="s">
        <v>59</v>
      </c>
      <c r="F37" s="3"/>
      <c r="G37" s="24"/>
      <c r="H37" s="24"/>
      <c r="J37" s="1" t="s">
        <v>153</v>
      </c>
      <c r="K37" s="4"/>
      <c r="L37" s="4"/>
      <c r="M37" s="4"/>
      <c r="N37" s="4"/>
      <c r="O37" s="4"/>
      <c r="P37" s="33" t="s">
        <v>154</v>
      </c>
      <c r="Q37" s="25">
        <v>2778</v>
      </c>
      <c r="R37" s="25">
        <v>4</v>
      </c>
      <c r="S37" s="12">
        <f t="shared" si="0"/>
        <v>11112</v>
      </c>
      <c r="T37" s="5">
        <v>0</v>
      </c>
      <c r="U37" s="12">
        <f t="shared" si="1"/>
        <v>11112</v>
      </c>
      <c r="V37" s="25" t="s">
        <v>8</v>
      </c>
      <c r="W37" s="11">
        <f>IFERROR(VLOOKUP(V37,Curr!$B$2:$C$13,2,FALSE),0)</f>
        <v>1</v>
      </c>
      <c r="X37" s="12">
        <f t="shared" si="2"/>
        <v>11112</v>
      </c>
      <c r="Y37" s="26">
        <f>Q37/11/0.8</f>
        <v>315.68181818181813</v>
      </c>
      <c r="Z37" s="12">
        <f t="shared" si="4"/>
        <v>1262.7272727272725</v>
      </c>
      <c r="AA37" s="4" t="s">
        <v>10</v>
      </c>
      <c r="AB37" s="11">
        <f>IFERROR(VLOOKUP(AA37,Curr!$B$2:$C$13,2,FALSE),0)</f>
        <v>10.8</v>
      </c>
      <c r="AC37" s="12">
        <f t="shared" si="5"/>
        <v>13637.454545454544</v>
      </c>
      <c r="AD37" s="12">
        <f t="shared" si="6"/>
        <v>2525.4545454545441</v>
      </c>
      <c r="AE37" s="13">
        <f t="shared" si="7"/>
        <v>0.18518518518518512</v>
      </c>
    </row>
    <row r="38" spans="2:31" x14ac:dyDescent="0.25">
      <c r="B38" s="4"/>
      <c r="C38" s="1" t="s">
        <v>66</v>
      </c>
      <c r="D38" s="1" t="s">
        <v>49</v>
      </c>
      <c r="E38" s="3" t="s">
        <v>59</v>
      </c>
      <c r="F38" s="3"/>
      <c r="G38" s="24"/>
      <c r="H38" s="24"/>
      <c r="J38" s="1" t="s">
        <v>100</v>
      </c>
      <c r="K38" s="4"/>
      <c r="L38" s="4"/>
      <c r="M38" s="4"/>
      <c r="N38" s="4"/>
      <c r="O38" s="4"/>
      <c r="P38" s="33"/>
      <c r="Q38" s="25">
        <v>1900</v>
      </c>
      <c r="R38" s="25">
        <v>1</v>
      </c>
      <c r="S38" s="12">
        <f t="shared" si="0"/>
        <v>1900</v>
      </c>
      <c r="T38" s="5">
        <v>0</v>
      </c>
      <c r="U38" s="12">
        <f t="shared" si="1"/>
        <v>1900</v>
      </c>
      <c r="V38" s="25" t="s">
        <v>8</v>
      </c>
      <c r="W38" s="11">
        <f>IFERROR(VLOOKUP(V38,Curr!$B$2:$C$13,2,FALSE),0)</f>
        <v>1</v>
      </c>
      <c r="X38" s="12">
        <f t="shared" si="2"/>
        <v>1900</v>
      </c>
      <c r="Y38" s="26">
        <f>Q38/11/0.8</f>
        <v>215.90909090909088</v>
      </c>
      <c r="Z38" s="12">
        <f t="shared" si="4"/>
        <v>215.90909090909088</v>
      </c>
      <c r="AA38" s="4" t="s">
        <v>10</v>
      </c>
      <c r="AB38" s="11">
        <f>IFERROR(VLOOKUP(AA38,Curr!$B$2:$C$13,2,FALSE),0)</f>
        <v>10.8</v>
      </c>
      <c r="AC38" s="12">
        <f t="shared" si="5"/>
        <v>2331.8181818181815</v>
      </c>
      <c r="AD38" s="12">
        <f t="shared" si="6"/>
        <v>431.81818181818153</v>
      </c>
      <c r="AE38" s="13">
        <f t="shared" si="7"/>
        <v>0.18518518518518509</v>
      </c>
    </row>
    <row r="39" spans="2:31" x14ac:dyDescent="0.25">
      <c r="B39" s="4"/>
      <c r="C39" s="1" t="s">
        <v>66</v>
      </c>
      <c r="D39" s="1" t="s">
        <v>50</v>
      </c>
      <c r="E39" s="3" t="s">
        <v>59</v>
      </c>
      <c r="F39" s="3" t="s">
        <v>63</v>
      </c>
      <c r="G39" s="24"/>
      <c r="H39" s="24"/>
      <c r="J39" s="1" t="s">
        <v>195</v>
      </c>
      <c r="K39" s="4"/>
      <c r="L39" s="4"/>
      <c r="M39" s="4"/>
      <c r="N39" s="4"/>
      <c r="O39" s="4"/>
      <c r="P39" s="33" t="s">
        <v>196</v>
      </c>
      <c r="Q39" s="25">
        <v>2058</v>
      </c>
      <c r="R39" s="25">
        <v>1</v>
      </c>
      <c r="S39" s="12">
        <f t="shared" si="0"/>
        <v>2058</v>
      </c>
      <c r="T39" s="5">
        <v>0</v>
      </c>
      <c r="U39" s="12">
        <f t="shared" si="1"/>
        <v>2058</v>
      </c>
      <c r="V39" s="25" t="s">
        <v>10</v>
      </c>
      <c r="W39" s="11">
        <f>IFERROR(VLOOKUP(V39,Curr!$B$2:$C$13,2,FALSE),0)</f>
        <v>10.8</v>
      </c>
      <c r="X39" s="12">
        <f t="shared" si="2"/>
        <v>22226.400000000001</v>
      </c>
      <c r="Y39" s="26">
        <f>Q39/0.85</f>
        <v>2421.1764705882351</v>
      </c>
      <c r="Z39" s="12">
        <f t="shared" si="4"/>
        <v>2421.1764705882351</v>
      </c>
      <c r="AA39" s="4" t="s">
        <v>10</v>
      </c>
      <c r="AB39" s="11">
        <f>IFERROR(VLOOKUP(AA39,Curr!$B$2:$C$13,2,FALSE),0)</f>
        <v>10.8</v>
      </c>
      <c r="AC39" s="12">
        <f t="shared" si="5"/>
        <v>26148.705882352941</v>
      </c>
      <c r="AD39" s="12">
        <f t="shared" si="6"/>
        <v>3922.3058823529391</v>
      </c>
      <c r="AE39" s="13">
        <f t="shared" si="7"/>
        <v>0.14999999999999991</v>
      </c>
    </row>
    <row r="40" spans="2:31" x14ac:dyDescent="0.25">
      <c r="B40" s="4"/>
      <c r="C40" s="1" t="s">
        <v>66</v>
      </c>
      <c r="D40" s="1" t="s">
        <v>51</v>
      </c>
      <c r="E40" s="3" t="s">
        <v>59</v>
      </c>
      <c r="F40" s="3"/>
      <c r="G40" s="24"/>
      <c r="H40" s="24"/>
      <c r="J40" s="1" t="s">
        <v>102</v>
      </c>
      <c r="K40" s="4"/>
      <c r="L40" s="4"/>
      <c r="M40" s="4"/>
      <c r="N40" s="4"/>
      <c r="O40" s="4"/>
      <c r="P40" s="33"/>
      <c r="Q40" s="25">
        <v>0</v>
      </c>
      <c r="R40" s="25">
        <v>0</v>
      </c>
      <c r="S40" s="12">
        <f t="shared" si="0"/>
        <v>0</v>
      </c>
      <c r="T40" s="5">
        <v>0</v>
      </c>
      <c r="U40" s="12">
        <f t="shared" si="1"/>
        <v>0</v>
      </c>
      <c r="V40" s="25" t="s">
        <v>10</v>
      </c>
      <c r="W40" s="11">
        <f>IFERROR(VLOOKUP(V40,Curr!$B$2:$C$13,2,FALSE),0)</f>
        <v>10.8</v>
      </c>
      <c r="X40" s="12">
        <f t="shared" si="2"/>
        <v>0</v>
      </c>
      <c r="Y40" s="26">
        <f t="shared" ref="Y40:Y69" si="25">Q40</f>
        <v>0</v>
      </c>
      <c r="Z40" s="12">
        <f t="shared" si="4"/>
        <v>0</v>
      </c>
      <c r="AA40" s="4" t="s">
        <v>10</v>
      </c>
      <c r="AB40" s="11">
        <f>IFERROR(VLOOKUP(AA40,Curr!$B$2:$C$13,2,FALSE),0)</f>
        <v>10.8</v>
      </c>
      <c r="AC40" s="12">
        <f t="shared" si="5"/>
        <v>0</v>
      </c>
      <c r="AD40" s="12">
        <f t="shared" si="6"/>
        <v>0</v>
      </c>
      <c r="AE40" s="13">
        <f t="shared" si="7"/>
        <v>0</v>
      </c>
    </row>
    <row r="41" spans="2:31" x14ac:dyDescent="0.25">
      <c r="B41" s="4"/>
      <c r="E41" s="3"/>
      <c r="F41" s="3"/>
      <c r="G41" s="24"/>
      <c r="H41" s="24"/>
      <c r="K41" s="4"/>
      <c r="L41" s="4"/>
      <c r="M41" s="4"/>
      <c r="N41" s="4"/>
      <c r="O41" s="4"/>
      <c r="P41" s="27"/>
      <c r="Q41" s="25"/>
      <c r="R41" s="25"/>
      <c r="S41" s="12">
        <f t="shared" si="0"/>
        <v>0</v>
      </c>
      <c r="T41" s="5">
        <v>0</v>
      </c>
      <c r="U41" s="12">
        <f t="shared" si="1"/>
        <v>0</v>
      </c>
      <c r="V41" s="25" t="s">
        <v>10</v>
      </c>
      <c r="W41" s="11">
        <f>IFERROR(VLOOKUP(V41,Curr!$B$2:$C$13,2,FALSE),0)</f>
        <v>10.8</v>
      </c>
      <c r="X41" s="12">
        <f t="shared" si="2"/>
        <v>0</v>
      </c>
      <c r="Y41" s="26">
        <f t="shared" si="25"/>
        <v>0</v>
      </c>
      <c r="Z41" s="12">
        <f t="shared" si="4"/>
        <v>0</v>
      </c>
      <c r="AA41" s="4" t="s">
        <v>10</v>
      </c>
      <c r="AB41" s="11">
        <f>IFERROR(VLOOKUP(AA41,Curr!$B$2:$C$13,2,FALSE),0)</f>
        <v>10.8</v>
      </c>
      <c r="AC41" s="12">
        <f t="shared" si="5"/>
        <v>0</v>
      </c>
      <c r="AD41" s="12">
        <f t="shared" si="6"/>
        <v>0</v>
      </c>
      <c r="AE41" s="13">
        <f t="shared" si="7"/>
        <v>0</v>
      </c>
    </row>
    <row r="42" spans="2:31" x14ac:dyDescent="0.25">
      <c r="B42" s="4"/>
      <c r="C42" s="1" t="s">
        <v>103</v>
      </c>
      <c r="D42" s="1" t="s">
        <v>56</v>
      </c>
      <c r="E42" s="3" t="s">
        <v>61</v>
      </c>
      <c r="F42" s="3"/>
      <c r="G42" s="24"/>
      <c r="H42" s="24"/>
      <c r="J42" s="1" t="s">
        <v>157</v>
      </c>
      <c r="K42" s="4"/>
      <c r="L42" s="4"/>
      <c r="M42" s="4"/>
      <c r="N42" s="4"/>
      <c r="O42" s="4"/>
      <c r="P42" s="33" t="s">
        <v>158</v>
      </c>
      <c r="Q42" s="25">
        <v>40</v>
      </c>
      <c r="R42" s="25">
        <v>4</v>
      </c>
      <c r="S42" s="12">
        <f t="shared" si="0"/>
        <v>160</v>
      </c>
      <c r="T42" s="5">
        <v>0.2</v>
      </c>
      <c r="U42" s="12">
        <f t="shared" si="1"/>
        <v>128</v>
      </c>
      <c r="V42" s="25" t="s">
        <v>10</v>
      </c>
      <c r="W42" s="11">
        <f>IFERROR(VLOOKUP(V42,Curr!$B$2:$C$13,2,FALSE),0)</f>
        <v>10.8</v>
      </c>
      <c r="X42" s="12">
        <f t="shared" si="2"/>
        <v>1382.4</v>
      </c>
      <c r="Y42" s="26">
        <f t="shared" si="25"/>
        <v>40</v>
      </c>
      <c r="Z42" s="12">
        <f t="shared" si="4"/>
        <v>160</v>
      </c>
      <c r="AA42" s="4" t="s">
        <v>10</v>
      </c>
      <c r="AB42" s="11">
        <f>IFERROR(VLOOKUP(AA42,Curr!$B$2:$C$13,2,FALSE),0)</f>
        <v>10.8</v>
      </c>
      <c r="AC42" s="12">
        <f t="shared" si="5"/>
        <v>1728</v>
      </c>
      <c r="AD42" s="12">
        <f t="shared" si="6"/>
        <v>345.59999999999991</v>
      </c>
      <c r="AE42" s="13">
        <f t="shared" si="7"/>
        <v>0.19999999999999996</v>
      </c>
    </row>
    <row r="43" spans="2:31" x14ac:dyDescent="0.25">
      <c r="B43" s="4"/>
      <c r="C43" s="1" t="s">
        <v>103</v>
      </c>
      <c r="D43" s="1" t="s">
        <v>51</v>
      </c>
      <c r="E43" s="3" t="s">
        <v>61</v>
      </c>
      <c r="F43" s="3"/>
      <c r="G43" s="24"/>
      <c r="H43" s="24"/>
      <c r="J43" s="1" t="s">
        <v>102</v>
      </c>
      <c r="K43" s="4"/>
      <c r="L43" s="4"/>
      <c r="M43" s="4"/>
      <c r="N43" s="4"/>
      <c r="O43" s="4"/>
      <c r="P43" s="33"/>
      <c r="Q43" s="25">
        <v>0</v>
      </c>
      <c r="R43" s="25">
        <v>0</v>
      </c>
      <c r="S43" s="12">
        <f t="shared" si="0"/>
        <v>0</v>
      </c>
      <c r="T43" s="5">
        <v>0</v>
      </c>
      <c r="U43" s="12">
        <f t="shared" si="1"/>
        <v>0</v>
      </c>
      <c r="V43" s="25" t="s">
        <v>10</v>
      </c>
      <c r="W43" s="11">
        <f>IFERROR(VLOOKUP(V43,Curr!$B$2:$C$13,2,FALSE),0)</f>
        <v>10.8</v>
      </c>
      <c r="X43" s="12">
        <f t="shared" si="2"/>
        <v>0</v>
      </c>
      <c r="Y43" s="26">
        <f t="shared" si="25"/>
        <v>0</v>
      </c>
      <c r="Z43" s="12">
        <f t="shared" si="4"/>
        <v>0</v>
      </c>
      <c r="AA43" s="4" t="s">
        <v>10</v>
      </c>
      <c r="AB43" s="11">
        <f>IFERROR(VLOOKUP(AA43,Curr!$B$2:$C$13,2,FALSE),0)</f>
        <v>10.8</v>
      </c>
      <c r="AC43" s="12">
        <f t="shared" si="5"/>
        <v>0</v>
      </c>
      <c r="AD43" s="12">
        <f t="shared" si="6"/>
        <v>0</v>
      </c>
      <c r="AE43" s="13">
        <f t="shared" si="7"/>
        <v>0</v>
      </c>
    </row>
    <row r="44" spans="2:31" x14ac:dyDescent="0.25">
      <c r="B44" s="4"/>
      <c r="E44" s="3"/>
      <c r="F44" s="3"/>
      <c r="G44" s="24"/>
      <c r="H44" s="24"/>
      <c r="K44" s="4"/>
      <c r="L44" s="4"/>
      <c r="M44" s="4"/>
      <c r="N44" s="4"/>
      <c r="O44" s="4"/>
      <c r="P44" s="27"/>
      <c r="Q44" s="25"/>
      <c r="R44" s="25"/>
      <c r="S44" s="12">
        <f t="shared" si="0"/>
        <v>0</v>
      </c>
      <c r="T44" s="5">
        <v>0</v>
      </c>
      <c r="U44" s="12">
        <f t="shared" si="1"/>
        <v>0</v>
      </c>
      <c r="V44" s="25" t="s">
        <v>10</v>
      </c>
      <c r="W44" s="11">
        <f>IFERROR(VLOOKUP(V44,Curr!$B$2:$C$13,2,FALSE),0)</f>
        <v>10.8</v>
      </c>
      <c r="X44" s="12">
        <f t="shared" si="2"/>
        <v>0</v>
      </c>
      <c r="Y44" s="26">
        <f t="shared" si="25"/>
        <v>0</v>
      </c>
      <c r="Z44" s="12">
        <f t="shared" si="4"/>
        <v>0</v>
      </c>
      <c r="AA44" s="4" t="s">
        <v>10</v>
      </c>
      <c r="AB44" s="11">
        <f>IFERROR(VLOOKUP(AA44,Curr!$B$2:$C$13,2,FALSE),0)</f>
        <v>10.8</v>
      </c>
      <c r="AC44" s="12">
        <f t="shared" si="5"/>
        <v>0</v>
      </c>
      <c r="AD44" s="12">
        <f t="shared" si="6"/>
        <v>0</v>
      </c>
      <c r="AE44" s="13">
        <f t="shared" si="7"/>
        <v>0</v>
      </c>
    </row>
    <row r="45" spans="2:31" x14ac:dyDescent="0.25">
      <c r="B45" s="4"/>
      <c r="C45" s="1" t="s">
        <v>104</v>
      </c>
      <c r="D45" s="1" t="s">
        <v>49</v>
      </c>
      <c r="E45" s="3" t="s">
        <v>63</v>
      </c>
      <c r="F45" s="3"/>
      <c r="G45" s="24"/>
      <c r="H45" s="24"/>
      <c r="J45" s="1" t="s">
        <v>105</v>
      </c>
      <c r="K45" s="4"/>
      <c r="L45" s="4"/>
      <c r="M45" s="4"/>
      <c r="N45" s="4"/>
      <c r="O45" s="4"/>
      <c r="P45" s="33"/>
      <c r="Q45" s="25">
        <v>0</v>
      </c>
      <c r="R45" s="25">
        <v>0</v>
      </c>
      <c r="S45" s="12">
        <f t="shared" si="0"/>
        <v>0</v>
      </c>
      <c r="T45" s="5">
        <v>0</v>
      </c>
      <c r="U45" s="12">
        <f t="shared" si="1"/>
        <v>0</v>
      </c>
      <c r="V45" s="25" t="s">
        <v>10</v>
      </c>
      <c r="W45" s="11">
        <f>IFERROR(VLOOKUP(V45,Curr!$B$2:$C$13,2,FALSE),0)</f>
        <v>10.8</v>
      </c>
      <c r="X45" s="12">
        <f t="shared" si="2"/>
        <v>0</v>
      </c>
      <c r="Y45" s="26">
        <f t="shared" si="25"/>
        <v>0</v>
      </c>
      <c r="Z45" s="12">
        <f t="shared" si="4"/>
        <v>0</v>
      </c>
      <c r="AA45" s="4" t="s">
        <v>10</v>
      </c>
      <c r="AB45" s="11">
        <f>IFERROR(VLOOKUP(AA45,Curr!$B$2:$C$13,2,FALSE),0)</f>
        <v>10.8</v>
      </c>
      <c r="AC45" s="12">
        <f t="shared" si="5"/>
        <v>0</v>
      </c>
      <c r="AD45" s="12">
        <f t="shared" si="6"/>
        <v>0</v>
      </c>
      <c r="AE45" s="13">
        <f t="shared" si="7"/>
        <v>0</v>
      </c>
    </row>
    <row r="46" spans="2:31" x14ac:dyDescent="0.25">
      <c r="B46" s="4"/>
      <c r="C46" s="1" t="s">
        <v>104</v>
      </c>
      <c r="D46" s="1" t="s">
        <v>56</v>
      </c>
      <c r="E46" s="3" t="s">
        <v>63</v>
      </c>
      <c r="F46" s="3"/>
      <c r="G46" s="24"/>
      <c r="H46" s="24"/>
      <c r="J46" s="1" t="s">
        <v>225</v>
      </c>
      <c r="K46" s="4"/>
      <c r="L46" s="4"/>
      <c r="M46" s="4"/>
      <c r="N46" s="4"/>
      <c r="O46" s="4"/>
      <c r="P46" s="33" t="s">
        <v>160</v>
      </c>
      <c r="Q46" s="25">
        <f>3873+450</f>
        <v>4323</v>
      </c>
      <c r="R46" s="25">
        <v>4</v>
      </c>
      <c r="S46" s="12">
        <f t="shared" si="0"/>
        <v>17292</v>
      </c>
      <c r="T46" s="5">
        <v>0.12</v>
      </c>
      <c r="U46" s="12">
        <f t="shared" si="1"/>
        <v>15216.960000000001</v>
      </c>
      <c r="V46" s="25" t="s">
        <v>8</v>
      </c>
      <c r="W46" s="11">
        <f>IFERROR(VLOOKUP(V46,Curr!$B$2:$C$13,2,FALSE),0)</f>
        <v>1</v>
      </c>
      <c r="X46" s="12">
        <f t="shared" si="2"/>
        <v>15216.960000000001</v>
      </c>
      <c r="Y46" s="26">
        <f>Q46/11/0.9</f>
        <v>436.66666666666663</v>
      </c>
      <c r="Z46" s="12">
        <f t="shared" si="4"/>
        <v>1746.6666666666665</v>
      </c>
      <c r="AA46" s="4" t="s">
        <v>10</v>
      </c>
      <c r="AB46" s="11">
        <f>IFERROR(VLOOKUP(AA46,Curr!$B$2:$C$13,2,FALSE),0)</f>
        <v>10.8</v>
      </c>
      <c r="AC46" s="12">
        <f t="shared" si="5"/>
        <v>18864</v>
      </c>
      <c r="AD46" s="12">
        <f t="shared" si="6"/>
        <v>3647.0399999999991</v>
      </c>
      <c r="AE46" s="13">
        <f t="shared" si="7"/>
        <v>0.19333333333333327</v>
      </c>
    </row>
    <row r="47" spans="2:31" x14ac:dyDescent="0.25">
      <c r="B47" s="4"/>
      <c r="C47" s="1" t="s">
        <v>104</v>
      </c>
      <c r="D47" s="1" t="s">
        <v>49</v>
      </c>
      <c r="E47" s="3" t="s">
        <v>63</v>
      </c>
      <c r="F47" s="3"/>
      <c r="G47" s="24"/>
      <c r="H47" s="24"/>
      <c r="J47" s="1" t="s">
        <v>108</v>
      </c>
      <c r="K47" s="4"/>
      <c r="L47" s="4"/>
      <c r="M47" s="4"/>
      <c r="N47" s="4"/>
      <c r="O47" s="4"/>
      <c r="P47" s="33" t="s">
        <v>166</v>
      </c>
      <c r="Q47" s="25">
        <v>1490</v>
      </c>
      <c r="R47" s="25">
        <v>1</v>
      </c>
      <c r="S47" s="12">
        <f t="shared" si="0"/>
        <v>1490</v>
      </c>
      <c r="T47" s="5">
        <v>0.15</v>
      </c>
      <c r="U47" s="12">
        <f t="shared" si="1"/>
        <v>1266.5</v>
      </c>
      <c r="V47" s="25" t="s">
        <v>8</v>
      </c>
      <c r="W47" s="11">
        <f>IFERROR(VLOOKUP(V47,Curr!$B$2:$C$13,2,FALSE),0)</f>
        <v>1</v>
      </c>
      <c r="X47" s="12">
        <f t="shared" si="2"/>
        <v>1266.5</v>
      </c>
      <c r="Y47" s="26">
        <f>Q47/11/0.9</f>
        <v>150.50505050505052</v>
      </c>
      <c r="Z47" s="12">
        <f t="shared" si="4"/>
        <v>150.50505050505052</v>
      </c>
      <c r="AA47" s="4" t="s">
        <v>10</v>
      </c>
      <c r="AB47" s="11">
        <f>IFERROR(VLOOKUP(AA47,Curr!$B$2:$C$13,2,FALSE),0)</f>
        <v>10.8</v>
      </c>
      <c r="AC47" s="12">
        <f t="shared" si="5"/>
        <v>1625.4545454545457</v>
      </c>
      <c r="AD47" s="12">
        <f t="shared" si="6"/>
        <v>358.95454545454572</v>
      </c>
      <c r="AE47" s="13">
        <f t="shared" si="7"/>
        <v>0.22083333333333346</v>
      </c>
    </row>
    <row r="48" spans="2:31" x14ac:dyDescent="0.25">
      <c r="B48" s="4"/>
      <c r="C48" s="1" t="s">
        <v>104</v>
      </c>
      <c r="D48" s="1" t="s">
        <v>50</v>
      </c>
      <c r="E48" s="3" t="s">
        <v>63</v>
      </c>
      <c r="F48" s="3" t="s">
        <v>68</v>
      </c>
      <c r="G48" s="1"/>
      <c r="H48" s="1"/>
      <c r="J48" s="1" t="s">
        <v>198</v>
      </c>
      <c r="K48" s="4"/>
      <c r="L48" s="4"/>
      <c r="M48" s="4"/>
      <c r="N48" s="4"/>
      <c r="O48" s="4"/>
      <c r="P48" s="29" t="s">
        <v>199</v>
      </c>
      <c r="Q48" s="25">
        <v>2620</v>
      </c>
      <c r="R48" s="25">
        <v>1</v>
      </c>
      <c r="S48" s="12">
        <f t="shared" si="0"/>
        <v>2620</v>
      </c>
      <c r="T48" s="5">
        <v>0</v>
      </c>
      <c r="U48" s="12">
        <f t="shared" si="1"/>
        <v>2620</v>
      </c>
      <c r="V48" s="25" t="s">
        <v>10</v>
      </c>
      <c r="W48" s="11">
        <f>IFERROR(VLOOKUP(V48,Curr!$B$2:$C$13,2,FALSE),0)</f>
        <v>10.8</v>
      </c>
      <c r="X48" s="12">
        <f t="shared" si="2"/>
        <v>28296.000000000004</v>
      </c>
      <c r="Y48" s="26">
        <f>Q48/0.85</f>
        <v>3082.3529411764707</v>
      </c>
      <c r="Z48" s="12">
        <f t="shared" si="4"/>
        <v>3082.3529411764707</v>
      </c>
      <c r="AA48" s="4" t="s">
        <v>10</v>
      </c>
      <c r="AB48" s="11">
        <f>IFERROR(VLOOKUP(AA48,Curr!$B$2:$C$13,2,FALSE),0)</f>
        <v>10.8</v>
      </c>
      <c r="AC48" s="12">
        <f t="shared" si="5"/>
        <v>33289.411764705888</v>
      </c>
      <c r="AD48" s="12">
        <f t="shared" si="6"/>
        <v>4993.4117647058847</v>
      </c>
      <c r="AE48" s="13">
        <f t="shared" si="7"/>
        <v>0.15000000000000005</v>
      </c>
    </row>
    <row r="49" spans="2:31" x14ac:dyDescent="0.25">
      <c r="B49" s="4"/>
      <c r="C49" s="1" t="s">
        <v>104</v>
      </c>
      <c r="D49" s="1" t="s">
        <v>51</v>
      </c>
      <c r="E49" s="3" t="s">
        <v>63</v>
      </c>
      <c r="F49" s="1"/>
      <c r="G49" s="1"/>
      <c r="H49" s="1"/>
      <c r="J49" s="1" t="s">
        <v>109</v>
      </c>
      <c r="K49" s="4"/>
      <c r="L49" s="4"/>
      <c r="M49" s="4"/>
      <c r="N49" s="4"/>
      <c r="O49" s="4"/>
      <c r="P49" s="33"/>
      <c r="Q49" s="25">
        <v>0</v>
      </c>
      <c r="R49" s="25">
        <v>0</v>
      </c>
      <c r="S49" s="12">
        <f t="shared" si="0"/>
        <v>0</v>
      </c>
      <c r="T49" s="5">
        <v>0</v>
      </c>
      <c r="U49" s="12">
        <f t="shared" si="1"/>
        <v>0</v>
      </c>
      <c r="V49" s="25" t="s">
        <v>10</v>
      </c>
      <c r="W49" s="11">
        <f>IFERROR(VLOOKUP(V49,Curr!$B$2:$C$13,2,FALSE),0)</f>
        <v>10.8</v>
      </c>
      <c r="X49" s="12">
        <f t="shared" si="2"/>
        <v>0</v>
      </c>
      <c r="Y49" s="26">
        <f t="shared" ref="Y49" si="26">Q49</f>
        <v>0</v>
      </c>
      <c r="Z49" s="12">
        <f t="shared" si="4"/>
        <v>0</v>
      </c>
      <c r="AA49" s="4" t="s">
        <v>10</v>
      </c>
      <c r="AB49" s="11">
        <f>IFERROR(VLOOKUP(AA49,Curr!$B$2:$C$13,2,FALSE),0)</f>
        <v>10.8</v>
      </c>
      <c r="AC49" s="12">
        <f t="shared" si="5"/>
        <v>0</v>
      </c>
      <c r="AD49" s="12">
        <f t="shared" si="6"/>
        <v>0</v>
      </c>
      <c r="AE49" s="13">
        <f t="shared" si="7"/>
        <v>0</v>
      </c>
    </row>
    <row r="50" spans="2:31" x14ac:dyDescent="0.25">
      <c r="B50" s="4"/>
      <c r="E50" s="3"/>
      <c r="F50" s="1"/>
      <c r="G50" s="1"/>
      <c r="H50" s="1"/>
      <c r="K50" s="4"/>
      <c r="L50" s="4"/>
      <c r="M50" s="4"/>
      <c r="N50" s="4"/>
      <c r="O50" s="4"/>
      <c r="P50" s="33"/>
      <c r="Q50" s="25"/>
      <c r="R50" s="25"/>
      <c r="S50" s="12">
        <f t="shared" si="0"/>
        <v>0</v>
      </c>
      <c r="T50" s="5">
        <v>0</v>
      </c>
      <c r="U50" s="12">
        <f t="shared" si="1"/>
        <v>0</v>
      </c>
      <c r="V50" s="25" t="s">
        <v>10</v>
      </c>
      <c r="W50" s="11">
        <f>IFERROR(VLOOKUP(V50,Curr!$B$2:$C$13,2,FALSE),0)</f>
        <v>10.8</v>
      </c>
      <c r="X50" s="12">
        <f t="shared" si="2"/>
        <v>0</v>
      </c>
      <c r="Y50" s="26">
        <f t="shared" si="25"/>
        <v>0</v>
      </c>
      <c r="Z50" s="12">
        <f t="shared" si="4"/>
        <v>0</v>
      </c>
      <c r="AA50" s="4" t="s">
        <v>10</v>
      </c>
      <c r="AB50" s="11">
        <f>IFERROR(VLOOKUP(AA50,Curr!$B$2:$C$13,2,FALSE),0)</f>
        <v>10.8</v>
      </c>
      <c r="AC50" s="12">
        <f t="shared" si="5"/>
        <v>0</v>
      </c>
      <c r="AD50" s="12">
        <f t="shared" si="6"/>
        <v>0</v>
      </c>
      <c r="AE50" s="13">
        <f t="shared" si="7"/>
        <v>0</v>
      </c>
    </row>
    <row r="51" spans="2:31" x14ac:dyDescent="0.25">
      <c r="B51" s="4"/>
      <c r="C51" s="1" t="s">
        <v>107</v>
      </c>
      <c r="D51" s="1" t="s">
        <v>56</v>
      </c>
      <c r="E51" s="3" t="s">
        <v>64</v>
      </c>
      <c r="F51" s="3"/>
      <c r="G51" s="24"/>
      <c r="H51" s="24"/>
      <c r="J51" s="1" t="s">
        <v>164</v>
      </c>
      <c r="K51" s="4"/>
      <c r="L51" s="4"/>
      <c r="M51" s="4"/>
      <c r="N51" s="4"/>
      <c r="O51" s="4"/>
      <c r="P51" s="33" t="s">
        <v>167</v>
      </c>
      <c r="Q51" s="25">
        <v>200</v>
      </c>
      <c r="R51" s="25">
        <v>4</v>
      </c>
      <c r="S51" s="12">
        <f t="shared" si="0"/>
        <v>800</v>
      </c>
      <c r="T51" s="5">
        <v>0</v>
      </c>
      <c r="U51" s="12">
        <f t="shared" si="1"/>
        <v>800</v>
      </c>
      <c r="V51" s="25" t="s">
        <v>8</v>
      </c>
      <c r="W51" s="11">
        <f>IFERROR(VLOOKUP(V51,Curr!$B$2:$C$13,2,FALSE),0)</f>
        <v>1</v>
      </c>
      <c r="X51" s="12">
        <f t="shared" si="2"/>
        <v>800</v>
      </c>
      <c r="Y51" s="26">
        <f>Q51/11/0.6</f>
        <v>30.303030303030308</v>
      </c>
      <c r="Z51" s="12">
        <f t="shared" si="4"/>
        <v>121.21212121212123</v>
      </c>
      <c r="AA51" s="4" t="s">
        <v>10</v>
      </c>
      <c r="AB51" s="11">
        <f>IFERROR(VLOOKUP(AA51,Curr!$B$2:$C$13,2,FALSE),0)</f>
        <v>10.8</v>
      </c>
      <c r="AC51" s="12">
        <f t="shared" si="5"/>
        <v>1309.0909090909095</v>
      </c>
      <c r="AD51" s="12">
        <f t="shared" si="6"/>
        <v>509.09090909090946</v>
      </c>
      <c r="AE51" s="13">
        <f t="shared" si="7"/>
        <v>0.38888888888888906</v>
      </c>
    </row>
    <row r="52" spans="2:31" x14ac:dyDescent="0.25">
      <c r="B52" s="4"/>
      <c r="C52" s="1" t="s">
        <v>107</v>
      </c>
      <c r="D52" s="1" t="s">
        <v>51</v>
      </c>
      <c r="E52" s="3" t="s">
        <v>64</v>
      </c>
      <c r="F52" s="3"/>
      <c r="G52" s="24"/>
      <c r="H52" s="24"/>
      <c r="J52" s="1" t="s">
        <v>109</v>
      </c>
      <c r="K52" s="4"/>
      <c r="L52" s="4"/>
      <c r="M52" s="4"/>
      <c r="N52" s="4"/>
      <c r="O52" s="4"/>
      <c r="P52" s="33"/>
      <c r="Q52" s="25">
        <v>0</v>
      </c>
      <c r="R52" s="25">
        <v>0</v>
      </c>
      <c r="S52" s="12">
        <f t="shared" si="0"/>
        <v>0</v>
      </c>
      <c r="T52" s="5">
        <v>0</v>
      </c>
      <c r="U52" s="12">
        <f t="shared" si="1"/>
        <v>0</v>
      </c>
      <c r="V52" s="25" t="s">
        <v>10</v>
      </c>
      <c r="W52" s="11">
        <f>IFERROR(VLOOKUP(V52,Curr!$B$2:$C$13,2,FALSE),0)</f>
        <v>10.8</v>
      </c>
      <c r="X52" s="12">
        <f t="shared" si="2"/>
        <v>0</v>
      </c>
      <c r="Y52" s="26">
        <f t="shared" ref="Y52" si="27">Q52</f>
        <v>0</v>
      </c>
      <c r="Z52" s="12">
        <f t="shared" si="4"/>
        <v>0</v>
      </c>
      <c r="AA52" s="4" t="s">
        <v>10</v>
      </c>
      <c r="AB52" s="11">
        <f>IFERROR(VLOOKUP(AA52,Curr!$B$2:$C$13,2,FALSE),0)</f>
        <v>10.8</v>
      </c>
      <c r="AC52" s="12">
        <f t="shared" si="5"/>
        <v>0</v>
      </c>
      <c r="AD52" s="12">
        <f t="shared" si="6"/>
        <v>0</v>
      </c>
      <c r="AE52" s="13">
        <f t="shared" si="7"/>
        <v>0</v>
      </c>
    </row>
    <row r="53" spans="2:31" x14ac:dyDescent="0.25">
      <c r="B53" s="4"/>
      <c r="C53" s="1" t="s">
        <v>107</v>
      </c>
      <c r="D53" s="1" t="s">
        <v>56</v>
      </c>
      <c r="E53" s="3" t="s">
        <v>64</v>
      </c>
      <c r="F53" s="3"/>
      <c r="G53" s="24"/>
      <c r="H53" s="24"/>
      <c r="J53" s="1" t="s">
        <v>165</v>
      </c>
      <c r="K53" s="4"/>
      <c r="L53" s="4"/>
      <c r="M53" s="4"/>
      <c r="N53" s="4"/>
      <c r="O53" s="4"/>
      <c r="P53" s="33" t="s">
        <v>163</v>
      </c>
      <c r="Q53" s="25">
        <v>75</v>
      </c>
      <c r="R53" s="25">
        <v>4</v>
      </c>
      <c r="S53" s="12">
        <f t="shared" si="0"/>
        <v>300</v>
      </c>
      <c r="T53" s="5">
        <v>0.2</v>
      </c>
      <c r="U53" s="12">
        <f t="shared" si="1"/>
        <v>240</v>
      </c>
      <c r="V53" s="25" t="s">
        <v>10</v>
      </c>
      <c r="W53" s="11">
        <f>IFERROR(VLOOKUP(V53,Curr!$B$2:$C$13,2,FALSE),0)</f>
        <v>10.8</v>
      </c>
      <c r="X53" s="12">
        <f t="shared" si="2"/>
        <v>2592</v>
      </c>
      <c r="Y53" s="26">
        <f>Q53/0.9</f>
        <v>83.333333333333329</v>
      </c>
      <c r="Z53" s="12">
        <f t="shared" si="4"/>
        <v>333.33333333333331</v>
      </c>
      <c r="AA53" s="4" t="s">
        <v>10</v>
      </c>
      <c r="AB53" s="11">
        <f>IFERROR(VLOOKUP(AA53,Curr!$B$2:$C$13,2,FALSE),0)</f>
        <v>10.8</v>
      </c>
      <c r="AC53" s="12">
        <f t="shared" si="5"/>
        <v>3600</v>
      </c>
      <c r="AD53" s="12">
        <f t="shared" si="6"/>
        <v>1008</v>
      </c>
      <c r="AE53" s="13">
        <f t="shared" si="7"/>
        <v>0.28000000000000003</v>
      </c>
    </row>
    <row r="54" spans="2:31" x14ac:dyDescent="0.25">
      <c r="B54" s="4"/>
      <c r="E54" s="3"/>
      <c r="F54" s="3"/>
      <c r="G54" s="24"/>
      <c r="H54" s="24"/>
      <c r="K54" s="4"/>
      <c r="L54" s="4"/>
      <c r="M54" s="4"/>
      <c r="N54" s="4"/>
      <c r="O54" s="4"/>
      <c r="P54" s="33"/>
      <c r="Q54" s="25"/>
      <c r="R54" s="25"/>
      <c r="S54" s="12">
        <f t="shared" si="0"/>
        <v>0</v>
      </c>
      <c r="T54" s="5">
        <v>0</v>
      </c>
      <c r="U54" s="12">
        <f t="shared" si="1"/>
        <v>0</v>
      </c>
      <c r="V54" s="25" t="s">
        <v>10</v>
      </c>
      <c r="W54" s="11">
        <f>IFERROR(VLOOKUP(V54,Curr!$B$2:$C$13,2,FALSE),0)</f>
        <v>10.8</v>
      </c>
      <c r="X54" s="12">
        <f t="shared" si="2"/>
        <v>0</v>
      </c>
      <c r="Y54" s="26">
        <f t="shared" si="25"/>
        <v>0</v>
      </c>
      <c r="Z54" s="12">
        <f t="shared" si="4"/>
        <v>0</v>
      </c>
      <c r="AA54" s="4" t="s">
        <v>10</v>
      </c>
      <c r="AB54" s="11">
        <f>IFERROR(VLOOKUP(AA54,Curr!$B$2:$C$13,2,FALSE),0)</f>
        <v>10.8</v>
      </c>
      <c r="AC54" s="12">
        <f t="shared" si="5"/>
        <v>0</v>
      </c>
      <c r="AD54" s="12">
        <f t="shared" si="6"/>
        <v>0</v>
      </c>
      <c r="AE54" s="13">
        <f t="shared" si="7"/>
        <v>0</v>
      </c>
    </row>
    <row r="55" spans="2:31" x14ac:dyDescent="0.25">
      <c r="B55" s="4"/>
      <c r="C55" s="1" t="s">
        <v>112</v>
      </c>
      <c r="D55" s="1" t="s">
        <v>49</v>
      </c>
      <c r="E55" s="3" t="s">
        <v>68</v>
      </c>
      <c r="F55" s="3"/>
      <c r="G55" s="24"/>
      <c r="H55" s="24"/>
      <c r="J55" s="1" t="s">
        <v>134</v>
      </c>
      <c r="K55" s="4"/>
      <c r="L55" s="4"/>
      <c r="M55" s="4"/>
      <c r="N55" s="4"/>
      <c r="O55" s="4"/>
      <c r="P55" s="33" t="s">
        <v>166</v>
      </c>
      <c r="Q55" s="25">
        <v>2290</v>
      </c>
      <c r="R55" s="25">
        <v>1</v>
      </c>
      <c r="S55" s="12">
        <f t="shared" si="0"/>
        <v>2290</v>
      </c>
      <c r="T55" s="5">
        <v>0.15</v>
      </c>
      <c r="U55" s="12">
        <f t="shared" si="1"/>
        <v>1946.5</v>
      </c>
      <c r="V55" s="25" t="s">
        <v>8</v>
      </c>
      <c r="W55" s="11">
        <f>IFERROR(VLOOKUP(V55,Curr!$B$2:$C$13,2,FALSE),0)</f>
        <v>1</v>
      </c>
      <c r="X55" s="12">
        <f t="shared" si="2"/>
        <v>1946.5</v>
      </c>
      <c r="Y55" s="26">
        <f>Q55/11/0.9</f>
        <v>231.31313131313132</v>
      </c>
      <c r="Z55" s="12">
        <f t="shared" si="4"/>
        <v>231.31313131313132</v>
      </c>
      <c r="AA55" s="4" t="s">
        <v>10</v>
      </c>
      <c r="AB55" s="11">
        <f>IFERROR(VLOOKUP(AA55,Curr!$B$2:$C$13,2,FALSE),0)</f>
        <v>10.8</v>
      </c>
      <c r="AC55" s="12">
        <f t="shared" si="5"/>
        <v>2498.1818181818185</v>
      </c>
      <c r="AD55" s="12">
        <f t="shared" si="6"/>
        <v>551.68181818181847</v>
      </c>
      <c r="AE55" s="13">
        <f t="shared" si="7"/>
        <v>0.22083333333333344</v>
      </c>
    </row>
    <row r="56" spans="2:31" x14ac:dyDescent="0.25">
      <c r="B56" s="4"/>
      <c r="C56" s="1" t="s">
        <v>112</v>
      </c>
      <c r="D56" s="1" t="s">
        <v>76</v>
      </c>
      <c r="E56" s="3" t="s">
        <v>68</v>
      </c>
      <c r="F56" s="3"/>
      <c r="G56" s="24"/>
      <c r="H56" s="24"/>
      <c r="J56" s="1" t="s">
        <v>168</v>
      </c>
      <c r="K56" s="4"/>
      <c r="L56" s="4"/>
      <c r="M56" s="4"/>
      <c r="N56" s="4"/>
      <c r="O56" s="4"/>
      <c r="P56" s="33" t="s">
        <v>169</v>
      </c>
      <c r="Q56" s="25">
        <v>1639</v>
      </c>
      <c r="R56" s="25">
        <v>4</v>
      </c>
      <c r="S56" s="12">
        <f t="shared" si="0"/>
        <v>6556</v>
      </c>
      <c r="T56" s="5">
        <v>0</v>
      </c>
      <c r="U56" s="12">
        <f t="shared" si="1"/>
        <v>6556</v>
      </c>
      <c r="V56" s="25" t="s">
        <v>8</v>
      </c>
      <c r="W56" s="11">
        <f>IFERROR(VLOOKUP(V56,Curr!$B$2:$C$13,2,FALSE),0)</f>
        <v>1</v>
      </c>
      <c r="X56" s="12">
        <f t="shared" si="2"/>
        <v>6556</v>
      </c>
      <c r="Y56" s="26">
        <f>Q56/11/0.8</f>
        <v>186.25</v>
      </c>
      <c r="Z56" s="12">
        <f t="shared" si="4"/>
        <v>745</v>
      </c>
      <c r="AA56" s="4" t="s">
        <v>10</v>
      </c>
      <c r="AB56" s="11">
        <f>IFERROR(VLOOKUP(AA56,Curr!$B$2:$C$13,2,FALSE),0)</f>
        <v>10.8</v>
      </c>
      <c r="AC56" s="12">
        <f t="shared" si="5"/>
        <v>8046.0000000000009</v>
      </c>
      <c r="AD56" s="12">
        <f t="shared" si="6"/>
        <v>1490.0000000000009</v>
      </c>
      <c r="AE56" s="13">
        <f t="shared" si="7"/>
        <v>0.18518518518518529</v>
      </c>
    </row>
    <row r="57" spans="2:31" x14ac:dyDescent="0.25">
      <c r="B57" s="4"/>
      <c r="C57" s="1" t="s">
        <v>112</v>
      </c>
      <c r="D57" s="1" t="s">
        <v>74</v>
      </c>
      <c r="E57" s="3" t="s">
        <v>68</v>
      </c>
      <c r="F57" s="3" t="s">
        <v>120</v>
      </c>
      <c r="G57" s="24"/>
      <c r="H57" s="24"/>
      <c r="J57" s="1" t="s">
        <v>205</v>
      </c>
      <c r="K57" s="4"/>
      <c r="L57" s="4"/>
      <c r="M57" s="4"/>
      <c r="N57" s="4"/>
      <c r="O57" s="4"/>
      <c r="P57" s="33" t="s">
        <v>226</v>
      </c>
      <c r="Q57" s="25">
        <v>334</v>
      </c>
      <c r="R57" s="25">
        <v>1</v>
      </c>
      <c r="S57" s="12">
        <f t="shared" si="0"/>
        <v>334</v>
      </c>
      <c r="T57" s="5">
        <v>0</v>
      </c>
      <c r="U57" s="12">
        <f t="shared" si="1"/>
        <v>334</v>
      </c>
      <c r="V57" s="25" t="s">
        <v>10</v>
      </c>
      <c r="W57" s="11">
        <f>IFERROR(VLOOKUP(V57,Curr!$B$2:$C$13,2,FALSE),0)</f>
        <v>10.8</v>
      </c>
      <c r="X57" s="12">
        <f t="shared" si="2"/>
        <v>3607.2000000000003</v>
      </c>
      <c r="Y57" s="26">
        <f>Q57/0.8</f>
        <v>417.5</v>
      </c>
      <c r="Z57" s="12">
        <f t="shared" si="4"/>
        <v>417.5</v>
      </c>
      <c r="AA57" s="4" t="s">
        <v>10</v>
      </c>
      <c r="AB57" s="11">
        <f>IFERROR(VLOOKUP(AA57,Curr!$B$2:$C$13,2,FALSE),0)</f>
        <v>10.8</v>
      </c>
      <c r="AC57" s="12">
        <f t="shared" si="5"/>
        <v>4509</v>
      </c>
      <c r="AD57" s="12">
        <f t="shared" si="6"/>
        <v>901.79999999999973</v>
      </c>
      <c r="AE57" s="13">
        <f t="shared" si="7"/>
        <v>0.19999999999999993</v>
      </c>
    </row>
    <row r="58" spans="2:31" x14ac:dyDescent="0.25">
      <c r="B58" s="4"/>
      <c r="C58" s="1" t="s">
        <v>112</v>
      </c>
      <c r="D58" s="1" t="s">
        <v>75</v>
      </c>
      <c r="E58" s="3" t="s">
        <v>68</v>
      </c>
      <c r="F58" s="3"/>
      <c r="G58" s="24"/>
      <c r="H58" s="24"/>
      <c r="J58" s="1" t="s">
        <v>200</v>
      </c>
      <c r="K58" s="4"/>
      <c r="L58" s="4"/>
      <c r="M58" s="4"/>
      <c r="N58" s="4"/>
      <c r="O58" s="4"/>
      <c r="P58" s="33"/>
      <c r="Q58" s="25">
        <v>0</v>
      </c>
      <c r="R58" s="25">
        <v>0</v>
      </c>
      <c r="S58" s="12">
        <f t="shared" si="0"/>
        <v>0</v>
      </c>
      <c r="T58" s="5">
        <v>0</v>
      </c>
      <c r="U58" s="12">
        <f t="shared" si="1"/>
        <v>0</v>
      </c>
      <c r="V58" s="25" t="s">
        <v>10</v>
      </c>
      <c r="W58" s="11">
        <f>IFERROR(VLOOKUP(V58,Curr!$B$2:$C$13,2,FALSE),0)</f>
        <v>10.8</v>
      </c>
      <c r="X58" s="12">
        <f t="shared" si="2"/>
        <v>0</v>
      </c>
      <c r="Y58" s="26">
        <f t="shared" ref="Y58" si="28">Q58</f>
        <v>0</v>
      </c>
      <c r="Z58" s="12">
        <f t="shared" si="4"/>
        <v>0</v>
      </c>
      <c r="AA58" s="4" t="s">
        <v>10</v>
      </c>
      <c r="AB58" s="11">
        <f>IFERROR(VLOOKUP(AA58,Curr!$B$2:$C$13,2,FALSE),0)</f>
        <v>10.8</v>
      </c>
      <c r="AC58" s="12">
        <f t="shared" si="5"/>
        <v>0</v>
      </c>
      <c r="AD58" s="12">
        <f t="shared" si="6"/>
        <v>0</v>
      </c>
      <c r="AE58" s="13">
        <f t="shared" si="7"/>
        <v>0</v>
      </c>
    </row>
    <row r="59" spans="2:31" x14ac:dyDescent="0.25">
      <c r="B59" s="4"/>
      <c r="C59" s="1" t="s">
        <v>112</v>
      </c>
      <c r="D59" s="1" t="s">
        <v>50</v>
      </c>
      <c r="E59" s="3" t="s">
        <v>68</v>
      </c>
      <c r="F59" s="3" t="s">
        <v>120</v>
      </c>
      <c r="G59" s="24"/>
      <c r="H59" s="24"/>
      <c r="J59" s="1" t="s">
        <v>204</v>
      </c>
      <c r="K59" s="4"/>
      <c r="L59" s="4"/>
      <c r="M59" s="4"/>
      <c r="N59" s="4"/>
      <c r="O59" s="4"/>
      <c r="P59" s="33" t="s">
        <v>203</v>
      </c>
      <c r="Q59" s="25">
        <v>3072</v>
      </c>
      <c r="R59" s="25">
        <v>1</v>
      </c>
      <c r="S59" s="12">
        <f t="shared" si="0"/>
        <v>3072</v>
      </c>
      <c r="T59" s="5">
        <v>0</v>
      </c>
      <c r="U59" s="12">
        <f t="shared" si="1"/>
        <v>3072</v>
      </c>
      <c r="V59" s="25" t="s">
        <v>10</v>
      </c>
      <c r="W59" s="11">
        <f>IFERROR(VLOOKUP(V59,Curr!$B$2:$C$13,2,FALSE),0)</f>
        <v>10.8</v>
      </c>
      <c r="X59" s="12">
        <f t="shared" si="2"/>
        <v>33177.600000000006</v>
      </c>
      <c r="Y59" s="26">
        <f>Q59/0.8</f>
        <v>3840</v>
      </c>
      <c r="Z59" s="12">
        <f t="shared" si="4"/>
        <v>3840</v>
      </c>
      <c r="AA59" s="4" t="s">
        <v>10</v>
      </c>
      <c r="AB59" s="11">
        <f>IFERROR(VLOOKUP(AA59,Curr!$B$2:$C$13,2,FALSE),0)</f>
        <v>10.8</v>
      </c>
      <c r="AC59" s="12">
        <f t="shared" si="5"/>
        <v>41472</v>
      </c>
      <c r="AD59" s="12">
        <f t="shared" si="6"/>
        <v>8294.3999999999942</v>
      </c>
      <c r="AE59" s="13">
        <f t="shared" si="7"/>
        <v>0.19999999999999987</v>
      </c>
    </row>
    <row r="60" spans="2:31" x14ac:dyDescent="0.25">
      <c r="B60" s="4"/>
      <c r="C60" s="1" t="s">
        <v>112</v>
      </c>
      <c r="D60" s="1" t="s">
        <v>51</v>
      </c>
      <c r="E60" s="3" t="s">
        <v>68</v>
      </c>
      <c r="F60" s="3"/>
      <c r="G60" s="24"/>
      <c r="H60" s="24"/>
      <c r="J60" s="1" t="s">
        <v>114</v>
      </c>
      <c r="K60" s="4"/>
      <c r="L60" s="4"/>
      <c r="M60" s="4"/>
      <c r="N60" s="4"/>
      <c r="O60" s="4"/>
      <c r="P60" s="33"/>
      <c r="Q60" s="25">
        <v>0</v>
      </c>
      <c r="R60" s="25">
        <v>0</v>
      </c>
      <c r="S60" s="12">
        <f t="shared" si="0"/>
        <v>0</v>
      </c>
      <c r="T60" s="5">
        <v>0</v>
      </c>
      <c r="U60" s="12">
        <f t="shared" si="1"/>
        <v>0</v>
      </c>
      <c r="V60" s="25" t="s">
        <v>10</v>
      </c>
      <c r="W60" s="11">
        <f>IFERROR(VLOOKUP(V60,Curr!$B$2:$C$13,2,FALSE),0)</f>
        <v>10.8</v>
      </c>
      <c r="X60" s="12">
        <f t="shared" si="2"/>
        <v>0</v>
      </c>
      <c r="Y60" s="26">
        <f t="shared" ref="Y60" si="29">Q60</f>
        <v>0</v>
      </c>
      <c r="Z60" s="12">
        <f t="shared" si="4"/>
        <v>0</v>
      </c>
      <c r="AA60" s="4" t="s">
        <v>10</v>
      </c>
      <c r="AB60" s="11">
        <f>IFERROR(VLOOKUP(AA60,Curr!$B$2:$C$13,2,FALSE),0)</f>
        <v>10.8</v>
      </c>
      <c r="AC60" s="12">
        <f t="shared" si="5"/>
        <v>0</v>
      </c>
      <c r="AD60" s="12">
        <f t="shared" si="6"/>
        <v>0</v>
      </c>
      <c r="AE60" s="13">
        <f t="shared" si="7"/>
        <v>0</v>
      </c>
    </row>
    <row r="61" spans="2:31" x14ac:dyDescent="0.25">
      <c r="B61" s="4"/>
      <c r="E61" s="3"/>
      <c r="F61" s="3"/>
      <c r="G61" s="24"/>
      <c r="H61" s="24"/>
      <c r="K61" s="4"/>
      <c r="L61" s="4"/>
      <c r="M61" s="4"/>
      <c r="N61" s="4"/>
      <c r="O61" s="4"/>
      <c r="P61" s="33"/>
      <c r="Q61" s="25"/>
      <c r="R61" s="25"/>
      <c r="S61" s="12">
        <f t="shared" si="0"/>
        <v>0</v>
      </c>
      <c r="T61" s="5">
        <v>0</v>
      </c>
      <c r="U61" s="12">
        <f t="shared" si="1"/>
        <v>0</v>
      </c>
      <c r="V61" s="25" t="s">
        <v>10</v>
      </c>
      <c r="W61" s="11">
        <f>IFERROR(VLOOKUP(V61,Curr!$B$2:$C$13,2,FALSE),0)</f>
        <v>10.8</v>
      </c>
      <c r="X61" s="12">
        <f t="shared" si="2"/>
        <v>0</v>
      </c>
      <c r="Y61" s="26">
        <f t="shared" si="25"/>
        <v>0</v>
      </c>
      <c r="Z61" s="12">
        <f t="shared" si="4"/>
        <v>0</v>
      </c>
      <c r="AA61" s="4" t="s">
        <v>10</v>
      </c>
      <c r="AB61" s="11">
        <f>IFERROR(VLOOKUP(AA61,Curr!$B$2:$C$13,2,FALSE),0)</f>
        <v>10.8</v>
      </c>
      <c r="AC61" s="12">
        <f t="shared" si="5"/>
        <v>0</v>
      </c>
      <c r="AD61" s="12">
        <f t="shared" si="6"/>
        <v>0</v>
      </c>
      <c r="AE61" s="13">
        <f t="shared" si="7"/>
        <v>0</v>
      </c>
    </row>
    <row r="62" spans="2:31" x14ac:dyDescent="0.25">
      <c r="B62" s="4"/>
      <c r="C62" s="1" t="s">
        <v>113</v>
      </c>
      <c r="D62" s="1" t="s">
        <v>75</v>
      </c>
      <c r="E62" s="3" t="s">
        <v>54</v>
      </c>
      <c r="F62" s="3"/>
      <c r="G62" s="24"/>
      <c r="H62" s="24"/>
      <c r="J62" s="1" t="s">
        <v>209</v>
      </c>
      <c r="K62" s="4"/>
      <c r="L62" s="4"/>
      <c r="M62" s="4"/>
      <c r="N62" s="4"/>
      <c r="O62" s="4"/>
      <c r="P62" s="33" t="s">
        <v>211</v>
      </c>
      <c r="Q62" s="25">
        <v>1680</v>
      </c>
      <c r="R62" s="25">
        <v>1</v>
      </c>
      <c r="S62" s="12">
        <f t="shared" si="0"/>
        <v>1680</v>
      </c>
      <c r="T62" s="5">
        <v>0.12</v>
      </c>
      <c r="U62" s="12">
        <f t="shared" si="1"/>
        <v>1478.4</v>
      </c>
      <c r="V62" s="25" t="s">
        <v>8</v>
      </c>
      <c r="W62" s="11">
        <f>IFERROR(VLOOKUP(V62,Curr!$B$2:$C$13,2,FALSE),0)</f>
        <v>1</v>
      </c>
      <c r="X62" s="12">
        <f t="shared" si="2"/>
        <v>1478.4</v>
      </c>
      <c r="Y62" s="26">
        <f>Q62/11/0.8</f>
        <v>190.90909090909088</v>
      </c>
      <c r="Z62" s="12">
        <f t="shared" si="4"/>
        <v>190.90909090909088</v>
      </c>
      <c r="AA62" s="4" t="s">
        <v>10</v>
      </c>
      <c r="AB62" s="11">
        <f>IFERROR(VLOOKUP(AA62,Curr!$B$2:$C$13,2,FALSE),0)</f>
        <v>10.8</v>
      </c>
      <c r="AC62" s="12">
        <f t="shared" si="5"/>
        <v>2061.8181818181815</v>
      </c>
      <c r="AD62" s="12">
        <f t="shared" si="6"/>
        <v>583.41818181818144</v>
      </c>
      <c r="AE62" s="13">
        <f t="shared" si="7"/>
        <v>0.28296296296296281</v>
      </c>
    </row>
    <row r="63" spans="2:31" x14ac:dyDescent="0.25">
      <c r="B63" s="4"/>
      <c r="C63" s="1" t="s">
        <v>113</v>
      </c>
      <c r="D63" s="1" t="s">
        <v>51</v>
      </c>
      <c r="E63" s="3" t="s">
        <v>54</v>
      </c>
      <c r="F63" s="3"/>
      <c r="G63" s="24"/>
      <c r="H63" s="24"/>
      <c r="J63" s="1" t="s">
        <v>114</v>
      </c>
      <c r="K63" s="4"/>
      <c r="L63" s="4"/>
      <c r="M63" s="4"/>
      <c r="N63" s="4"/>
      <c r="O63" s="4"/>
      <c r="P63" s="33"/>
      <c r="Q63" s="25">
        <v>0</v>
      </c>
      <c r="R63" s="25">
        <v>0</v>
      </c>
      <c r="S63" s="12">
        <f t="shared" si="0"/>
        <v>0</v>
      </c>
      <c r="T63" s="5">
        <v>0</v>
      </c>
      <c r="U63" s="12">
        <f t="shared" si="1"/>
        <v>0</v>
      </c>
      <c r="V63" s="25" t="s">
        <v>10</v>
      </c>
      <c r="W63" s="11">
        <f>IFERROR(VLOOKUP(V63,Curr!$B$2:$C$13,2,FALSE),0)</f>
        <v>10.8</v>
      </c>
      <c r="X63" s="12">
        <f t="shared" si="2"/>
        <v>0</v>
      </c>
      <c r="Y63" s="26">
        <f t="shared" si="25"/>
        <v>0</v>
      </c>
      <c r="Z63" s="12">
        <f t="shared" si="4"/>
        <v>0</v>
      </c>
      <c r="AA63" s="4" t="s">
        <v>10</v>
      </c>
      <c r="AB63" s="11">
        <f>IFERROR(VLOOKUP(AA63,Curr!$B$2:$C$13,2,FALSE),0)</f>
        <v>10.8</v>
      </c>
      <c r="AC63" s="12">
        <f t="shared" si="5"/>
        <v>0</v>
      </c>
      <c r="AD63" s="12">
        <f t="shared" si="6"/>
        <v>0</v>
      </c>
      <c r="AE63" s="13">
        <f t="shared" si="7"/>
        <v>0</v>
      </c>
    </row>
    <row r="64" spans="2:31" x14ac:dyDescent="0.25">
      <c r="B64" s="4"/>
      <c r="E64" s="3"/>
      <c r="F64" s="3"/>
      <c r="G64" s="24"/>
      <c r="H64" s="24"/>
      <c r="K64" s="4"/>
      <c r="L64" s="4"/>
      <c r="M64" s="4"/>
      <c r="N64" s="4"/>
      <c r="O64" s="4"/>
      <c r="P64" s="27"/>
      <c r="Q64" s="25"/>
      <c r="R64" s="25"/>
      <c r="S64" s="12">
        <f t="shared" si="0"/>
        <v>0</v>
      </c>
      <c r="T64" s="5">
        <v>0</v>
      </c>
      <c r="U64" s="12">
        <f t="shared" si="1"/>
        <v>0</v>
      </c>
      <c r="V64" s="25" t="s">
        <v>10</v>
      </c>
      <c r="W64" s="11">
        <f>IFERROR(VLOOKUP(V64,Curr!$B$2:$C$13,2,FALSE),0)</f>
        <v>10.8</v>
      </c>
      <c r="X64" s="12">
        <f t="shared" si="2"/>
        <v>0</v>
      </c>
      <c r="Y64" s="26">
        <f t="shared" si="25"/>
        <v>0</v>
      </c>
      <c r="Z64" s="12">
        <f t="shared" si="4"/>
        <v>0</v>
      </c>
      <c r="AA64" s="4" t="s">
        <v>10</v>
      </c>
      <c r="AB64" s="11">
        <f>IFERROR(VLOOKUP(AA64,Curr!$B$2:$C$13,2,FALSE),0)</f>
        <v>10.8</v>
      </c>
      <c r="AC64" s="12">
        <f t="shared" si="5"/>
        <v>0</v>
      </c>
      <c r="AD64" s="12">
        <f t="shared" si="6"/>
        <v>0</v>
      </c>
      <c r="AE64" s="13">
        <f t="shared" si="7"/>
        <v>0</v>
      </c>
    </row>
    <row r="65" spans="2:31" x14ac:dyDescent="0.25">
      <c r="B65" s="4"/>
      <c r="C65" s="1" t="s">
        <v>117</v>
      </c>
      <c r="D65" s="1" t="s">
        <v>75</v>
      </c>
      <c r="E65" s="3" t="s">
        <v>118</v>
      </c>
      <c r="F65" s="3"/>
      <c r="G65" s="24"/>
      <c r="H65" s="24"/>
      <c r="J65" s="1" t="s">
        <v>210</v>
      </c>
      <c r="K65" s="4"/>
      <c r="L65" s="4"/>
      <c r="M65" s="4"/>
      <c r="N65" s="4"/>
      <c r="O65" s="4"/>
      <c r="P65" s="33"/>
      <c r="Q65" s="25">
        <v>0</v>
      </c>
      <c r="R65" s="25">
        <v>0</v>
      </c>
      <c r="S65" s="12">
        <f t="shared" si="0"/>
        <v>0</v>
      </c>
      <c r="T65" s="5">
        <v>0</v>
      </c>
      <c r="U65" s="12">
        <f t="shared" si="1"/>
        <v>0</v>
      </c>
      <c r="V65" s="25" t="s">
        <v>10</v>
      </c>
      <c r="W65" s="11">
        <f>IFERROR(VLOOKUP(V65,Curr!$B$2:$C$13,2,FALSE),0)</f>
        <v>10.8</v>
      </c>
      <c r="X65" s="12">
        <f t="shared" si="2"/>
        <v>0</v>
      </c>
      <c r="Y65" s="26">
        <f t="shared" si="25"/>
        <v>0</v>
      </c>
      <c r="Z65" s="12">
        <f t="shared" si="4"/>
        <v>0</v>
      </c>
      <c r="AA65" s="4" t="s">
        <v>10</v>
      </c>
      <c r="AB65" s="11">
        <f>IFERROR(VLOOKUP(AA65,Curr!$B$2:$C$13,2,FALSE),0)</f>
        <v>10.8</v>
      </c>
      <c r="AC65" s="12">
        <f t="shared" si="5"/>
        <v>0</v>
      </c>
      <c r="AD65" s="12">
        <f t="shared" si="6"/>
        <v>0</v>
      </c>
      <c r="AE65" s="13">
        <f t="shared" si="7"/>
        <v>0</v>
      </c>
    </row>
    <row r="66" spans="2:31" x14ac:dyDescent="0.25">
      <c r="B66" s="4"/>
      <c r="C66" s="1" t="s">
        <v>117</v>
      </c>
      <c r="D66" s="1" t="s">
        <v>51</v>
      </c>
      <c r="E66" s="3" t="s">
        <v>118</v>
      </c>
      <c r="F66" s="3"/>
      <c r="G66" s="24"/>
      <c r="H66" s="24"/>
      <c r="J66" s="1" t="s">
        <v>114</v>
      </c>
      <c r="K66" s="4"/>
      <c r="L66" s="4"/>
      <c r="M66" s="4"/>
      <c r="N66" s="4"/>
      <c r="O66" s="4"/>
      <c r="P66" s="33"/>
      <c r="Q66" s="25">
        <v>0</v>
      </c>
      <c r="R66" s="25">
        <v>0</v>
      </c>
      <c r="S66" s="12">
        <f t="shared" si="0"/>
        <v>0</v>
      </c>
      <c r="T66" s="5">
        <v>0</v>
      </c>
      <c r="U66" s="12">
        <f t="shared" si="1"/>
        <v>0</v>
      </c>
      <c r="V66" s="25" t="s">
        <v>10</v>
      </c>
      <c r="W66" s="11">
        <f>IFERROR(VLOOKUP(V66,Curr!$B$2:$C$13,2,FALSE),0)</f>
        <v>10.8</v>
      </c>
      <c r="X66" s="12">
        <f t="shared" si="2"/>
        <v>0</v>
      </c>
      <c r="Y66" s="26">
        <f t="shared" si="25"/>
        <v>0</v>
      </c>
      <c r="Z66" s="12">
        <f t="shared" si="4"/>
        <v>0</v>
      </c>
      <c r="AA66" s="4" t="s">
        <v>10</v>
      </c>
      <c r="AB66" s="11">
        <f>IFERROR(VLOOKUP(AA66,Curr!$B$2:$C$13,2,FALSE),0)</f>
        <v>10.8</v>
      </c>
      <c r="AC66" s="12">
        <f t="shared" si="5"/>
        <v>0</v>
      </c>
      <c r="AD66" s="12">
        <f t="shared" si="6"/>
        <v>0</v>
      </c>
      <c r="AE66" s="13">
        <f t="shared" si="7"/>
        <v>0</v>
      </c>
    </row>
    <row r="67" spans="2:31" x14ac:dyDescent="0.25">
      <c r="B67" s="4"/>
      <c r="E67" s="3"/>
      <c r="F67" s="3"/>
      <c r="G67" s="24"/>
      <c r="H67" s="24"/>
      <c r="K67" s="4"/>
      <c r="L67" s="4"/>
      <c r="M67" s="4"/>
      <c r="N67" s="4"/>
      <c r="O67" s="4"/>
      <c r="P67" s="27"/>
      <c r="Q67" s="25"/>
      <c r="R67" s="25"/>
      <c r="S67" s="12">
        <f t="shared" si="0"/>
        <v>0</v>
      </c>
      <c r="T67" s="5">
        <v>0</v>
      </c>
      <c r="U67" s="12">
        <f t="shared" si="1"/>
        <v>0</v>
      </c>
      <c r="V67" s="25" t="s">
        <v>10</v>
      </c>
      <c r="W67" s="11">
        <f>IFERROR(VLOOKUP(V67,Curr!$B$2:$C$13,2,FALSE),0)</f>
        <v>10.8</v>
      </c>
      <c r="X67" s="12">
        <f t="shared" si="2"/>
        <v>0</v>
      </c>
      <c r="Y67" s="26">
        <f t="shared" si="25"/>
        <v>0</v>
      </c>
      <c r="Z67" s="12">
        <f t="shared" si="4"/>
        <v>0</v>
      </c>
      <c r="AA67" s="4" t="s">
        <v>10</v>
      </c>
      <c r="AB67" s="11">
        <f>IFERROR(VLOOKUP(AA67,Curr!$B$2:$C$13,2,FALSE),0)</f>
        <v>10.8</v>
      </c>
      <c r="AC67" s="12">
        <f t="shared" si="5"/>
        <v>0</v>
      </c>
      <c r="AD67" s="12">
        <f t="shared" si="6"/>
        <v>0</v>
      </c>
      <c r="AE67" s="13">
        <f t="shared" si="7"/>
        <v>0</v>
      </c>
    </row>
    <row r="68" spans="2:31" x14ac:dyDescent="0.25">
      <c r="B68" s="4"/>
      <c r="C68" s="1" t="s">
        <v>119</v>
      </c>
      <c r="D68" s="1" t="s">
        <v>75</v>
      </c>
      <c r="E68" s="3" t="s">
        <v>120</v>
      </c>
      <c r="F68" s="3"/>
      <c r="G68" s="24"/>
      <c r="H68" s="24"/>
      <c r="J68" s="1" t="s">
        <v>201</v>
      </c>
      <c r="K68" s="4"/>
      <c r="L68" s="4"/>
      <c r="M68" s="4"/>
      <c r="N68" s="4"/>
      <c r="O68" s="4"/>
      <c r="P68" s="33"/>
      <c r="Q68" s="25">
        <v>0</v>
      </c>
      <c r="R68" s="25">
        <v>0</v>
      </c>
      <c r="S68" s="12">
        <f t="shared" si="0"/>
        <v>0</v>
      </c>
      <c r="T68" s="5">
        <v>0</v>
      </c>
      <c r="U68" s="12">
        <f t="shared" si="1"/>
        <v>0</v>
      </c>
      <c r="V68" s="25" t="s">
        <v>10</v>
      </c>
      <c r="W68" s="11">
        <f>IFERROR(VLOOKUP(V68,Curr!$B$2:$C$13,2,FALSE),0)</f>
        <v>10.8</v>
      </c>
      <c r="X68" s="12">
        <f t="shared" si="2"/>
        <v>0</v>
      </c>
      <c r="Y68" s="26">
        <f t="shared" si="25"/>
        <v>0</v>
      </c>
      <c r="Z68" s="12">
        <f t="shared" si="4"/>
        <v>0</v>
      </c>
      <c r="AA68" s="4" t="s">
        <v>10</v>
      </c>
      <c r="AB68" s="11">
        <f>IFERROR(VLOOKUP(AA68,Curr!$B$2:$C$13,2,FALSE),0)</f>
        <v>10.8</v>
      </c>
      <c r="AC68" s="12">
        <f t="shared" si="5"/>
        <v>0</v>
      </c>
      <c r="AD68" s="12">
        <f t="shared" si="6"/>
        <v>0</v>
      </c>
      <c r="AE68" s="13">
        <f t="shared" si="7"/>
        <v>0</v>
      </c>
    </row>
    <row r="69" spans="2:31" x14ac:dyDescent="0.25">
      <c r="B69" s="4"/>
      <c r="C69" s="1" t="s">
        <v>119</v>
      </c>
      <c r="D69" s="1" t="s">
        <v>74</v>
      </c>
      <c r="E69" s="3" t="s">
        <v>120</v>
      </c>
      <c r="F69" s="3"/>
      <c r="G69" s="24"/>
      <c r="H69" s="24"/>
      <c r="J69" s="1" t="s">
        <v>202</v>
      </c>
      <c r="K69" s="4"/>
      <c r="L69" s="4"/>
      <c r="M69" s="4"/>
      <c r="N69" s="4"/>
      <c r="O69" s="4"/>
      <c r="P69" s="33"/>
      <c r="Q69" s="25">
        <v>0</v>
      </c>
      <c r="R69" s="25">
        <v>0</v>
      </c>
      <c r="S69" s="12">
        <f t="shared" si="0"/>
        <v>0</v>
      </c>
      <c r="T69" s="5">
        <v>0</v>
      </c>
      <c r="U69" s="12">
        <f t="shared" si="1"/>
        <v>0</v>
      </c>
      <c r="V69" s="25" t="s">
        <v>10</v>
      </c>
      <c r="W69" s="11">
        <f>IFERROR(VLOOKUP(V69,Curr!$B$2:$C$13,2,FALSE),0)</f>
        <v>10.8</v>
      </c>
      <c r="X69" s="12">
        <f t="shared" si="2"/>
        <v>0</v>
      </c>
      <c r="Y69" s="26">
        <f t="shared" si="25"/>
        <v>0</v>
      </c>
      <c r="Z69" s="12">
        <f t="shared" si="4"/>
        <v>0</v>
      </c>
      <c r="AA69" s="4" t="s">
        <v>10</v>
      </c>
      <c r="AB69" s="11">
        <f>IFERROR(VLOOKUP(AA69,Curr!$B$2:$C$13,2,FALSE),0)</f>
        <v>10.8</v>
      </c>
      <c r="AC69" s="12">
        <f t="shared" si="5"/>
        <v>0</v>
      </c>
      <c r="AD69" s="12">
        <f t="shared" si="6"/>
        <v>0</v>
      </c>
      <c r="AE69" s="13">
        <f t="shared" si="7"/>
        <v>0</v>
      </c>
    </row>
    <row r="70" spans="2:31" x14ac:dyDescent="0.25">
      <c r="B70" s="4"/>
      <c r="C70" s="1" t="s">
        <v>119</v>
      </c>
      <c r="D70" s="1" t="s">
        <v>67</v>
      </c>
      <c r="E70" s="3" t="s">
        <v>120</v>
      </c>
      <c r="F70" s="3"/>
      <c r="G70" s="24"/>
      <c r="H70" s="24"/>
      <c r="J70" s="1" t="s">
        <v>228</v>
      </c>
      <c r="K70" s="4"/>
      <c r="L70" s="4"/>
      <c r="M70" s="4"/>
      <c r="N70" s="4"/>
      <c r="O70" s="4"/>
      <c r="P70" s="29"/>
      <c r="Q70" s="25">
        <v>0</v>
      </c>
      <c r="R70" s="25">
        <v>0</v>
      </c>
      <c r="S70" s="12">
        <f t="shared" ref="S70" si="30">+Q70*R70</f>
        <v>0</v>
      </c>
      <c r="T70" s="5">
        <v>0</v>
      </c>
      <c r="U70" s="12">
        <f t="shared" ref="U70" si="31">S70*(1-T70)</f>
        <v>0</v>
      </c>
      <c r="V70" s="25" t="s">
        <v>10</v>
      </c>
      <c r="W70" s="11">
        <f>IFERROR(VLOOKUP(V70,Curr!$B$2:$C$13,2,FALSE),0)</f>
        <v>10.8</v>
      </c>
      <c r="X70" s="12">
        <f t="shared" ref="X70" si="32">U70*W70</f>
        <v>0</v>
      </c>
      <c r="Y70" s="26">
        <f t="shared" ref="Y70" si="33">Q70</f>
        <v>0</v>
      </c>
      <c r="Z70" s="12">
        <f t="shared" ref="Z70" si="34">+Y70*R70</f>
        <v>0</v>
      </c>
      <c r="AA70" s="4" t="s">
        <v>10</v>
      </c>
      <c r="AB70" s="11">
        <f>IFERROR(VLOOKUP(AA70,Curr!$B$2:$C$13,2,FALSE),0)</f>
        <v>10.8</v>
      </c>
      <c r="AC70" s="12">
        <f t="shared" ref="AC70" si="35">+Y70*AB70*R70</f>
        <v>0</v>
      </c>
      <c r="AD70" s="12">
        <f t="shared" ref="AD70" si="36">+AC70-X70</f>
        <v>0</v>
      </c>
      <c r="AE70" s="13">
        <f t="shared" ref="AE70" si="37">IFERROR(AD70/AC70,0)</f>
        <v>0</v>
      </c>
    </row>
    <row r="71" spans="2:31" x14ac:dyDescent="0.25">
      <c r="B71" s="4"/>
      <c r="E71" s="3"/>
      <c r="F71" s="3"/>
      <c r="G71" s="24"/>
      <c r="H71" s="24"/>
      <c r="K71" s="4"/>
      <c r="L71" s="4"/>
      <c r="M71" s="4"/>
      <c r="N71" s="4"/>
      <c r="O71" s="4"/>
      <c r="P71" s="33"/>
      <c r="Q71" s="25"/>
      <c r="R71" s="25"/>
      <c r="S71" s="12">
        <f t="shared" ref="S71:S83" si="38">+Q71*R71</f>
        <v>0</v>
      </c>
      <c r="T71" s="5">
        <v>0</v>
      </c>
      <c r="U71" s="12">
        <f t="shared" ref="U71:U83" si="39">S71*(1-T71)</f>
        <v>0</v>
      </c>
      <c r="V71" s="25" t="s">
        <v>10</v>
      </c>
      <c r="W71" s="11">
        <f>IFERROR(VLOOKUP(V71,Curr!$B$2:$C$13,2,FALSE),0)</f>
        <v>10.8</v>
      </c>
      <c r="X71" s="12">
        <f t="shared" ref="X71:X83" si="40">U71*W71</f>
        <v>0</v>
      </c>
      <c r="Y71" s="26">
        <f t="shared" ref="Y71:Y83" si="41">Q71</f>
        <v>0</v>
      </c>
      <c r="Z71" s="12">
        <f t="shared" ref="Z71:Z83" si="42">+Y71*R71</f>
        <v>0</v>
      </c>
      <c r="AA71" s="4" t="s">
        <v>10</v>
      </c>
      <c r="AB71" s="11">
        <f>IFERROR(VLOOKUP(AA71,Curr!$B$2:$C$13,2,FALSE),0)</f>
        <v>10.8</v>
      </c>
      <c r="AC71" s="12">
        <f t="shared" ref="AC71:AC83" si="43">+Y71*AB71*R71</f>
        <v>0</v>
      </c>
      <c r="AD71" s="12">
        <f t="shared" ref="AD71:AD83" si="44">+AC71-X71</f>
        <v>0</v>
      </c>
      <c r="AE71" s="13">
        <f t="shared" ref="AE71:AE83" si="45">IFERROR(AD71/AC71,0)</f>
        <v>0</v>
      </c>
    </row>
    <row r="72" spans="2:31" x14ac:dyDescent="0.25">
      <c r="B72" s="4"/>
      <c r="E72" s="3"/>
      <c r="F72" s="3"/>
      <c r="G72" s="24"/>
      <c r="H72" s="24"/>
      <c r="K72" s="4"/>
      <c r="L72" s="4"/>
      <c r="M72" s="4"/>
      <c r="N72" s="4"/>
      <c r="O72" s="4"/>
      <c r="P72" s="33"/>
      <c r="Q72" s="25"/>
      <c r="R72" s="25"/>
      <c r="S72" s="12">
        <f t="shared" si="38"/>
        <v>0</v>
      </c>
      <c r="T72" s="5">
        <v>0</v>
      </c>
      <c r="U72" s="12">
        <f t="shared" si="39"/>
        <v>0</v>
      </c>
      <c r="V72" s="25" t="s">
        <v>10</v>
      </c>
      <c r="W72" s="11">
        <f>IFERROR(VLOOKUP(V72,Curr!$B$2:$C$13,2,FALSE),0)</f>
        <v>10.8</v>
      </c>
      <c r="X72" s="12">
        <f t="shared" si="40"/>
        <v>0</v>
      </c>
      <c r="Y72" s="26">
        <f t="shared" si="41"/>
        <v>0</v>
      </c>
      <c r="Z72" s="12">
        <f t="shared" si="42"/>
        <v>0</v>
      </c>
      <c r="AA72" s="4" t="s">
        <v>10</v>
      </c>
      <c r="AB72" s="11">
        <f>IFERROR(VLOOKUP(AA72,Curr!$B$2:$C$13,2,FALSE),0)</f>
        <v>10.8</v>
      </c>
      <c r="AC72" s="12">
        <f t="shared" si="43"/>
        <v>0</v>
      </c>
      <c r="AD72" s="12">
        <f t="shared" si="44"/>
        <v>0</v>
      </c>
      <c r="AE72" s="13">
        <f t="shared" si="45"/>
        <v>0</v>
      </c>
    </row>
    <row r="73" spans="2:31" x14ac:dyDescent="0.25">
      <c r="B73" s="4"/>
      <c r="E73" s="3"/>
      <c r="F73" s="3"/>
      <c r="G73" s="24"/>
      <c r="H73" s="24"/>
      <c r="J73" s="1" t="s">
        <v>229</v>
      </c>
      <c r="K73" s="4"/>
      <c r="L73" s="4"/>
      <c r="M73" s="4"/>
      <c r="N73" s="4"/>
      <c r="O73" s="4"/>
      <c r="P73" s="33"/>
      <c r="Q73" s="25"/>
      <c r="R73" s="25"/>
      <c r="S73" s="12">
        <f t="shared" si="38"/>
        <v>0</v>
      </c>
      <c r="T73" s="5">
        <v>0</v>
      </c>
      <c r="U73" s="12">
        <f t="shared" si="39"/>
        <v>0</v>
      </c>
      <c r="V73" s="25" t="s">
        <v>10</v>
      </c>
      <c r="W73" s="11">
        <f>IFERROR(VLOOKUP(V73,Curr!$B$2:$C$13,2,FALSE),0)</f>
        <v>10.8</v>
      </c>
      <c r="X73" s="12">
        <f t="shared" si="40"/>
        <v>0</v>
      </c>
      <c r="Y73" s="26">
        <f t="shared" si="41"/>
        <v>0</v>
      </c>
      <c r="Z73" s="12">
        <f t="shared" si="42"/>
        <v>0</v>
      </c>
      <c r="AA73" s="4" t="s">
        <v>10</v>
      </c>
      <c r="AB73" s="11">
        <f>IFERROR(VLOOKUP(AA73,Curr!$B$2:$C$13,2,FALSE),0)</f>
        <v>10.8</v>
      </c>
      <c r="AC73" s="12">
        <f t="shared" si="43"/>
        <v>0</v>
      </c>
      <c r="AD73" s="12">
        <f t="shared" si="44"/>
        <v>0</v>
      </c>
      <c r="AE73" s="13">
        <f t="shared" si="45"/>
        <v>0</v>
      </c>
    </row>
    <row r="74" spans="2:31" x14ac:dyDescent="0.25">
      <c r="B74" s="4"/>
      <c r="E74" s="3"/>
      <c r="F74" s="3"/>
      <c r="G74" s="24"/>
      <c r="H74" s="24"/>
      <c r="J74" s="1" t="s">
        <v>230</v>
      </c>
      <c r="K74" s="4"/>
      <c r="L74" s="4"/>
      <c r="M74" s="4"/>
      <c r="N74" s="4"/>
      <c r="O74" s="4"/>
      <c r="P74" s="27"/>
      <c r="Q74" s="25"/>
      <c r="R74" s="25"/>
      <c r="S74" s="12">
        <f t="shared" si="38"/>
        <v>0</v>
      </c>
      <c r="T74" s="5">
        <v>0</v>
      </c>
      <c r="U74" s="12">
        <f t="shared" si="39"/>
        <v>0</v>
      </c>
      <c r="V74" s="25" t="s">
        <v>10</v>
      </c>
      <c r="W74" s="11">
        <f>IFERROR(VLOOKUP(V74,Curr!$B$2:$C$13,2,FALSE),0)</f>
        <v>10.8</v>
      </c>
      <c r="X74" s="12">
        <f t="shared" si="40"/>
        <v>0</v>
      </c>
      <c r="Y74" s="26">
        <f t="shared" si="41"/>
        <v>0</v>
      </c>
      <c r="Z74" s="12">
        <f t="shared" si="42"/>
        <v>0</v>
      </c>
      <c r="AA74" s="4" t="s">
        <v>10</v>
      </c>
      <c r="AB74" s="11">
        <f>IFERROR(VLOOKUP(AA74,Curr!$B$2:$C$13,2,FALSE),0)</f>
        <v>10.8</v>
      </c>
      <c r="AC74" s="12">
        <f t="shared" si="43"/>
        <v>0</v>
      </c>
      <c r="AD74" s="12">
        <f t="shared" si="44"/>
        <v>0</v>
      </c>
      <c r="AE74" s="13">
        <f t="shared" si="45"/>
        <v>0</v>
      </c>
    </row>
    <row r="75" spans="2:31" x14ac:dyDescent="0.25">
      <c r="B75" s="4"/>
      <c r="E75" s="3"/>
      <c r="F75" s="3"/>
      <c r="G75" s="24"/>
      <c r="H75" s="24"/>
      <c r="K75" s="4"/>
      <c r="L75" s="4"/>
      <c r="M75" s="4"/>
      <c r="N75" s="4"/>
      <c r="O75" s="4"/>
      <c r="P75" s="27"/>
      <c r="Q75" s="25"/>
      <c r="R75" s="25"/>
      <c r="S75" s="12">
        <f t="shared" si="38"/>
        <v>0</v>
      </c>
      <c r="T75" s="5">
        <v>0</v>
      </c>
      <c r="U75" s="12">
        <f t="shared" si="39"/>
        <v>0</v>
      </c>
      <c r="V75" s="25" t="s">
        <v>10</v>
      </c>
      <c r="W75" s="11">
        <f>IFERROR(VLOOKUP(V75,Curr!$B$2:$C$13,2,FALSE),0)</f>
        <v>10.8</v>
      </c>
      <c r="X75" s="12">
        <f t="shared" si="40"/>
        <v>0</v>
      </c>
      <c r="Y75" s="26">
        <f t="shared" si="41"/>
        <v>0</v>
      </c>
      <c r="Z75" s="12">
        <f t="shared" si="42"/>
        <v>0</v>
      </c>
      <c r="AA75" s="4" t="s">
        <v>10</v>
      </c>
      <c r="AB75" s="11">
        <f>IFERROR(VLOOKUP(AA75,Curr!$B$2:$C$13,2,FALSE),0)</f>
        <v>10.8</v>
      </c>
      <c r="AC75" s="12">
        <f t="shared" si="43"/>
        <v>0</v>
      </c>
      <c r="AD75" s="12">
        <f t="shared" si="44"/>
        <v>0</v>
      </c>
      <c r="AE75" s="13">
        <f t="shared" si="45"/>
        <v>0</v>
      </c>
    </row>
    <row r="76" spans="2:31" x14ac:dyDescent="0.25">
      <c r="B76" s="4"/>
      <c r="E76" s="3"/>
      <c r="F76" s="3"/>
      <c r="G76" s="24"/>
      <c r="H76" s="24"/>
      <c r="K76" s="4"/>
      <c r="L76" s="4"/>
      <c r="M76" s="4"/>
      <c r="N76" s="4"/>
      <c r="O76" s="4"/>
      <c r="P76" s="27"/>
      <c r="Q76" s="25"/>
      <c r="R76" s="25"/>
      <c r="S76" s="12">
        <f t="shared" si="38"/>
        <v>0</v>
      </c>
      <c r="T76" s="5">
        <v>0</v>
      </c>
      <c r="U76" s="12">
        <f t="shared" si="39"/>
        <v>0</v>
      </c>
      <c r="V76" s="25" t="s">
        <v>10</v>
      </c>
      <c r="W76" s="11">
        <f>IFERROR(VLOOKUP(V76,Curr!$B$2:$C$13,2,FALSE),0)</f>
        <v>10.8</v>
      </c>
      <c r="X76" s="12">
        <f t="shared" si="40"/>
        <v>0</v>
      </c>
      <c r="Y76" s="26">
        <f t="shared" si="41"/>
        <v>0</v>
      </c>
      <c r="Z76" s="12">
        <f t="shared" si="42"/>
        <v>0</v>
      </c>
      <c r="AA76" s="4" t="s">
        <v>10</v>
      </c>
      <c r="AB76" s="11">
        <f>IFERROR(VLOOKUP(AA76,Curr!$B$2:$C$13,2,FALSE),0)</f>
        <v>10.8</v>
      </c>
      <c r="AC76" s="12">
        <f t="shared" si="43"/>
        <v>0</v>
      </c>
      <c r="AD76" s="12">
        <f t="shared" si="44"/>
        <v>0</v>
      </c>
      <c r="AE76" s="13">
        <f t="shared" si="45"/>
        <v>0</v>
      </c>
    </row>
    <row r="77" spans="2:31" x14ac:dyDescent="0.25">
      <c r="B77" s="4"/>
      <c r="E77" s="3"/>
      <c r="F77" s="3"/>
      <c r="G77" s="24"/>
      <c r="H77" s="24"/>
      <c r="K77" s="4"/>
      <c r="L77" s="4"/>
      <c r="M77" s="4"/>
      <c r="N77" s="4"/>
      <c r="O77" s="4"/>
      <c r="P77" s="27"/>
      <c r="Q77" s="25"/>
      <c r="R77" s="25"/>
      <c r="S77" s="12">
        <f t="shared" si="38"/>
        <v>0</v>
      </c>
      <c r="T77" s="5">
        <v>0</v>
      </c>
      <c r="U77" s="12">
        <f t="shared" si="39"/>
        <v>0</v>
      </c>
      <c r="V77" s="25" t="s">
        <v>10</v>
      </c>
      <c r="W77" s="11">
        <f>IFERROR(VLOOKUP(V77,Curr!$B$2:$C$13,2,FALSE),0)</f>
        <v>10.8</v>
      </c>
      <c r="X77" s="12">
        <f t="shared" si="40"/>
        <v>0</v>
      </c>
      <c r="Y77" s="26">
        <f t="shared" si="41"/>
        <v>0</v>
      </c>
      <c r="Z77" s="12">
        <f t="shared" si="42"/>
        <v>0</v>
      </c>
      <c r="AA77" s="4" t="s">
        <v>10</v>
      </c>
      <c r="AB77" s="11">
        <f>IFERROR(VLOOKUP(AA77,Curr!$B$2:$C$13,2,FALSE),0)</f>
        <v>10.8</v>
      </c>
      <c r="AC77" s="12">
        <f t="shared" si="43"/>
        <v>0</v>
      </c>
      <c r="AD77" s="12">
        <f t="shared" si="44"/>
        <v>0</v>
      </c>
      <c r="AE77" s="13">
        <f t="shared" si="45"/>
        <v>0</v>
      </c>
    </row>
    <row r="78" spans="2:31" x14ac:dyDescent="0.25">
      <c r="B78" s="4"/>
      <c r="E78" s="3"/>
      <c r="F78" s="3"/>
      <c r="G78" s="24"/>
      <c r="H78" s="24"/>
      <c r="K78" s="4"/>
      <c r="L78" s="4"/>
      <c r="M78" s="4"/>
      <c r="N78" s="4"/>
      <c r="O78" s="4"/>
      <c r="P78" s="27"/>
      <c r="Q78" s="25"/>
      <c r="R78" s="25"/>
      <c r="S78" s="12">
        <f t="shared" si="38"/>
        <v>0</v>
      </c>
      <c r="T78" s="5">
        <v>0</v>
      </c>
      <c r="U78" s="12">
        <f t="shared" si="39"/>
        <v>0</v>
      </c>
      <c r="V78" s="25" t="s">
        <v>10</v>
      </c>
      <c r="W78" s="11">
        <f>IFERROR(VLOOKUP(V78,Curr!$B$2:$C$13,2,FALSE),0)</f>
        <v>10.8</v>
      </c>
      <c r="X78" s="12">
        <f t="shared" si="40"/>
        <v>0</v>
      </c>
      <c r="Y78" s="26">
        <f t="shared" si="41"/>
        <v>0</v>
      </c>
      <c r="Z78" s="12">
        <f t="shared" si="42"/>
        <v>0</v>
      </c>
      <c r="AA78" s="4" t="s">
        <v>10</v>
      </c>
      <c r="AB78" s="11">
        <f>IFERROR(VLOOKUP(AA78,Curr!$B$2:$C$13,2,FALSE),0)</f>
        <v>10.8</v>
      </c>
      <c r="AC78" s="12">
        <f t="shared" si="43"/>
        <v>0</v>
      </c>
      <c r="AD78" s="12">
        <f t="shared" si="44"/>
        <v>0</v>
      </c>
      <c r="AE78" s="13">
        <f t="shared" si="45"/>
        <v>0</v>
      </c>
    </row>
    <row r="79" spans="2:31" x14ac:dyDescent="0.25">
      <c r="B79" s="4"/>
      <c r="E79" s="3"/>
      <c r="F79" s="3"/>
      <c r="G79" s="24"/>
      <c r="H79" s="24"/>
      <c r="K79" s="4"/>
      <c r="L79" s="4"/>
      <c r="M79" s="4"/>
      <c r="N79" s="4"/>
      <c r="O79" s="4"/>
      <c r="P79" s="27"/>
      <c r="Q79" s="25"/>
      <c r="R79" s="25"/>
      <c r="S79" s="12">
        <f t="shared" si="38"/>
        <v>0</v>
      </c>
      <c r="T79" s="5">
        <v>0</v>
      </c>
      <c r="U79" s="12">
        <f t="shared" si="39"/>
        <v>0</v>
      </c>
      <c r="V79" s="25" t="s">
        <v>10</v>
      </c>
      <c r="W79" s="11">
        <f>IFERROR(VLOOKUP(V79,Curr!$B$2:$C$13,2,FALSE),0)</f>
        <v>10.8</v>
      </c>
      <c r="X79" s="12">
        <f t="shared" si="40"/>
        <v>0</v>
      </c>
      <c r="Y79" s="26">
        <f t="shared" si="41"/>
        <v>0</v>
      </c>
      <c r="Z79" s="12">
        <f t="shared" si="42"/>
        <v>0</v>
      </c>
      <c r="AA79" s="4" t="s">
        <v>10</v>
      </c>
      <c r="AB79" s="11">
        <f>IFERROR(VLOOKUP(AA79,Curr!$B$2:$C$13,2,FALSE),0)</f>
        <v>10.8</v>
      </c>
      <c r="AC79" s="12">
        <f t="shared" si="43"/>
        <v>0</v>
      </c>
      <c r="AD79" s="12">
        <f t="shared" si="44"/>
        <v>0</v>
      </c>
      <c r="AE79" s="13">
        <f t="shared" si="45"/>
        <v>0</v>
      </c>
    </row>
    <row r="80" spans="2:31" x14ac:dyDescent="0.25">
      <c r="B80" s="4"/>
      <c r="E80" s="3"/>
      <c r="F80" s="3"/>
      <c r="G80" s="24"/>
      <c r="H80" s="24"/>
      <c r="K80" s="4"/>
      <c r="L80" s="4"/>
      <c r="M80" s="4"/>
      <c r="N80" s="4"/>
      <c r="O80" s="4"/>
      <c r="P80" s="27"/>
      <c r="Q80" s="25"/>
      <c r="R80" s="25"/>
      <c r="S80" s="12">
        <f t="shared" si="38"/>
        <v>0</v>
      </c>
      <c r="T80" s="5">
        <v>0</v>
      </c>
      <c r="U80" s="12">
        <f t="shared" si="39"/>
        <v>0</v>
      </c>
      <c r="V80" s="25" t="s">
        <v>10</v>
      </c>
      <c r="W80" s="11">
        <f>IFERROR(VLOOKUP(V80,Curr!$B$2:$C$13,2,FALSE),0)</f>
        <v>10.8</v>
      </c>
      <c r="X80" s="12">
        <f t="shared" si="40"/>
        <v>0</v>
      </c>
      <c r="Y80" s="26">
        <f t="shared" si="41"/>
        <v>0</v>
      </c>
      <c r="Z80" s="12">
        <f t="shared" si="42"/>
        <v>0</v>
      </c>
      <c r="AA80" s="4" t="s">
        <v>10</v>
      </c>
      <c r="AB80" s="11">
        <f>IFERROR(VLOOKUP(AA80,Curr!$B$2:$C$13,2,FALSE),0)</f>
        <v>10.8</v>
      </c>
      <c r="AC80" s="12">
        <f t="shared" si="43"/>
        <v>0</v>
      </c>
      <c r="AD80" s="12">
        <f t="shared" si="44"/>
        <v>0</v>
      </c>
      <c r="AE80" s="13">
        <f t="shared" si="45"/>
        <v>0</v>
      </c>
    </row>
    <row r="81" spans="2:36" x14ac:dyDescent="0.25">
      <c r="B81" s="4"/>
      <c r="E81" s="3"/>
      <c r="F81" s="3"/>
      <c r="G81" s="24"/>
      <c r="H81" s="24"/>
      <c r="K81" s="4"/>
      <c r="L81" s="4"/>
      <c r="M81" s="4"/>
      <c r="N81" s="4"/>
      <c r="O81" s="4"/>
      <c r="P81" s="33"/>
      <c r="Q81" s="25"/>
      <c r="R81" s="25"/>
      <c r="S81" s="12">
        <f t="shared" si="38"/>
        <v>0</v>
      </c>
      <c r="T81" s="5">
        <v>0</v>
      </c>
      <c r="U81" s="12">
        <f t="shared" si="39"/>
        <v>0</v>
      </c>
      <c r="V81" s="25" t="s">
        <v>10</v>
      </c>
      <c r="W81" s="11">
        <f>IFERROR(VLOOKUP(V81,Curr!$B$2:$C$13,2,FALSE),0)</f>
        <v>10.8</v>
      </c>
      <c r="X81" s="12">
        <f t="shared" si="40"/>
        <v>0</v>
      </c>
      <c r="Y81" s="26">
        <f t="shared" si="41"/>
        <v>0</v>
      </c>
      <c r="Z81" s="12">
        <f t="shared" si="42"/>
        <v>0</v>
      </c>
      <c r="AA81" s="4" t="s">
        <v>10</v>
      </c>
      <c r="AB81" s="11">
        <f>IFERROR(VLOOKUP(AA81,Curr!$B$2:$C$13,2,FALSE),0)</f>
        <v>10.8</v>
      </c>
      <c r="AC81" s="12">
        <f t="shared" si="43"/>
        <v>0</v>
      </c>
      <c r="AD81" s="12">
        <f t="shared" si="44"/>
        <v>0</v>
      </c>
      <c r="AE81" s="13">
        <f t="shared" si="45"/>
        <v>0</v>
      </c>
    </row>
    <row r="82" spans="2:36" x14ac:dyDescent="0.25">
      <c r="B82" s="4"/>
      <c r="E82" s="3"/>
      <c r="F82" s="3"/>
      <c r="G82" s="24"/>
      <c r="H82" s="24"/>
      <c r="K82" s="4"/>
      <c r="L82" s="4"/>
      <c r="M82" s="4"/>
      <c r="N82" s="4"/>
      <c r="O82" s="4"/>
      <c r="P82" s="27"/>
      <c r="Q82" s="25"/>
      <c r="R82" s="25"/>
      <c r="S82" s="12">
        <f t="shared" si="38"/>
        <v>0</v>
      </c>
      <c r="T82" s="5">
        <v>0</v>
      </c>
      <c r="U82" s="12">
        <f t="shared" si="39"/>
        <v>0</v>
      </c>
      <c r="V82" s="25" t="s">
        <v>10</v>
      </c>
      <c r="W82" s="11">
        <f>IFERROR(VLOOKUP(V82,Curr!$B$2:$C$13,2,FALSE),0)</f>
        <v>10.8</v>
      </c>
      <c r="X82" s="12">
        <f t="shared" si="40"/>
        <v>0</v>
      </c>
      <c r="Y82" s="26">
        <f t="shared" si="41"/>
        <v>0</v>
      </c>
      <c r="Z82" s="12">
        <f t="shared" si="42"/>
        <v>0</v>
      </c>
      <c r="AA82" s="4" t="s">
        <v>10</v>
      </c>
      <c r="AB82" s="11">
        <f>IFERROR(VLOOKUP(AA82,Curr!$B$2:$C$13,2,FALSE),0)</f>
        <v>10.8</v>
      </c>
      <c r="AC82" s="12">
        <f t="shared" si="43"/>
        <v>0</v>
      </c>
      <c r="AD82" s="12">
        <f t="shared" si="44"/>
        <v>0</v>
      </c>
      <c r="AE82" s="13">
        <f t="shared" si="45"/>
        <v>0</v>
      </c>
    </row>
    <row r="83" spans="2:36" x14ac:dyDescent="0.25">
      <c r="B83" s="4"/>
      <c r="E83" s="3"/>
      <c r="F83" s="3"/>
      <c r="G83" s="24"/>
      <c r="H83" s="24"/>
      <c r="K83" s="4"/>
      <c r="L83" s="4"/>
      <c r="M83" s="4"/>
      <c r="N83" s="4"/>
      <c r="O83" s="4"/>
      <c r="P83" s="33"/>
      <c r="Q83" s="25"/>
      <c r="R83" s="25"/>
      <c r="S83" s="12">
        <f t="shared" si="38"/>
        <v>0</v>
      </c>
      <c r="T83" s="5">
        <v>0</v>
      </c>
      <c r="U83" s="12">
        <f t="shared" si="39"/>
        <v>0</v>
      </c>
      <c r="V83" s="25" t="s">
        <v>10</v>
      </c>
      <c r="W83" s="11">
        <f>IFERROR(VLOOKUP(V83,Curr!$B$2:$C$13,2,FALSE),0)</f>
        <v>10.8</v>
      </c>
      <c r="X83" s="12">
        <f t="shared" si="40"/>
        <v>0</v>
      </c>
      <c r="Y83" s="26">
        <f t="shared" si="41"/>
        <v>0</v>
      </c>
      <c r="Z83" s="12">
        <f t="shared" si="42"/>
        <v>0</v>
      </c>
      <c r="AA83" s="4" t="s">
        <v>10</v>
      </c>
      <c r="AB83" s="11">
        <f>IFERROR(VLOOKUP(AA83,Curr!$B$2:$C$13,2,FALSE),0)</f>
        <v>10.8</v>
      </c>
      <c r="AC83" s="12">
        <f t="shared" si="43"/>
        <v>0</v>
      </c>
      <c r="AD83" s="12">
        <f t="shared" si="44"/>
        <v>0</v>
      </c>
      <c r="AE83" s="13">
        <f t="shared" si="45"/>
        <v>0</v>
      </c>
    </row>
    <row r="84" spans="2:36" x14ac:dyDescent="0.25">
      <c r="B84" s="4"/>
      <c r="E84" s="3"/>
      <c r="F84" s="3"/>
      <c r="G84" s="3"/>
      <c r="H84" s="3"/>
      <c r="L84" s="4"/>
      <c r="M84" s="4"/>
      <c r="N84" s="4"/>
      <c r="O84" s="4"/>
      <c r="P84" s="22"/>
      <c r="Q84" s="4"/>
      <c r="R84" s="4"/>
      <c r="S84" s="4"/>
      <c r="T84" s="4"/>
      <c r="U84" s="4"/>
      <c r="V84" s="4"/>
      <c r="W84" s="4"/>
      <c r="X84" s="4"/>
      <c r="Y84" s="4"/>
      <c r="Z84" s="4"/>
      <c r="AA84" s="4"/>
      <c r="AB84" s="4"/>
      <c r="AC84" s="4"/>
      <c r="AD84" s="4"/>
      <c r="AE84" s="4"/>
      <c r="AF84" s="4"/>
    </row>
    <row r="85" spans="2:36" x14ac:dyDescent="0.25">
      <c r="B85" s="14" t="s">
        <v>18</v>
      </c>
      <c r="C85" s="14"/>
      <c r="D85" s="28" t="s">
        <v>42</v>
      </c>
      <c r="E85" s="30" t="s">
        <v>42</v>
      </c>
      <c r="F85" s="30" t="s">
        <v>42</v>
      </c>
      <c r="G85" s="30" t="s">
        <v>42</v>
      </c>
      <c r="H85" s="30" t="s">
        <v>42</v>
      </c>
      <c r="I85" s="28" t="s">
        <v>42</v>
      </c>
      <c r="J85" s="28" t="s">
        <v>42</v>
      </c>
      <c r="K85" s="28" t="s">
        <v>42</v>
      </c>
      <c r="L85" s="28" t="s">
        <v>42</v>
      </c>
      <c r="M85" s="28" t="s">
        <v>42</v>
      </c>
      <c r="N85" s="28" t="s">
        <v>42</v>
      </c>
      <c r="O85" s="28" t="s">
        <v>42</v>
      </c>
      <c r="P85" s="28" t="s">
        <v>42</v>
      </c>
      <c r="Q85" s="31" t="s">
        <v>42</v>
      </c>
      <c r="R85" s="28" t="s">
        <v>42</v>
      </c>
      <c r="S85" s="32" t="s">
        <v>42</v>
      </c>
      <c r="T85" s="28" t="s">
        <v>42</v>
      </c>
      <c r="U85" s="32" t="s">
        <v>42</v>
      </c>
      <c r="V85" s="28" t="s">
        <v>42</v>
      </c>
      <c r="W85" s="28" t="s">
        <v>42</v>
      </c>
      <c r="X85" s="32" t="s">
        <v>42</v>
      </c>
      <c r="Y85" s="32" t="s">
        <v>42</v>
      </c>
      <c r="Z85" s="15">
        <f>SUM(Z7:Z83)</f>
        <v>26372.476084373142</v>
      </c>
      <c r="AA85" s="14"/>
      <c r="AB85" s="14"/>
      <c r="AC85" s="15">
        <f>SUM(AC7:AC83)</f>
        <v>284822.74171122996</v>
      </c>
      <c r="AD85" s="15">
        <f>SUM(AD7:AD83)</f>
        <v>53606.701711229944</v>
      </c>
      <c r="AE85" s="21">
        <f t="shared" ref="AE85" si="46">IFERROR(AD85/AC85,0)</f>
        <v>0.18821074956710995</v>
      </c>
      <c r="AF85" s="15">
        <f>SUM(AF8:AF84)</f>
        <v>0</v>
      </c>
      <c r="AG85" s="15">
        <f>SUM(AG8:AG84)</f>
        <v>0</v>
      </c>
      <c r="AH85" s="15">
        <f>SUM(AH8:AH84)</f>
        <v>0</v>
      </c>
      <c r="AI85" s="15">
        <f>SUM(AI8:AI84)</f>
        <v>0</v>
      </c>
      <c r="AJ85" s="15">
        <f>SUM(AJ8:AJ84)</f>
        <v>0</v>
      </c>
    </row>
    <row r="86" spans="2:36" x14ac:dyDescent="0.25">
      <c r="B86" s="4"/>
      <c r="E86" s="3"/>
      <c r="F86" s="3"/>
      <c r="G86" s="3"/>
      <c r="H86" s="3"/>
      <c r="L86" s="4"/>
      <c r="M86" s="4"/>
      <c r="N86" s="4"/>
      <c r="O86" s="4"/>
      <c r="Q86" s="4"/>
      <c r="R86" s="4"/>
      <c r="S86" s="4"/>
      <c r="T86" s="4"/>
      <c r="U86" s="4"/>
      <c r="V86" s="4"/>
      <c r="W86" s="4"/>
      <c r="X86" s="4"/>
      <c r="Y86" s="9"/>
      <c r="Z86" s="9"/>
      <c r="AA86" s="9"/>
      <c r="AB86" s="9"/>
      <c r="AC86" s="9"/>
      <c r="AD86" s="9"/>
      <c r="AE86" s="9"/>
    </row>
    <row r="87" spans="2:36" x14ac:dyDescent="0.25">
      <c r="B87" s="4"/>
      <c r="E87" s="3"/>
      <c r="F87" s="3"/>
      <c r="G87" s="3"/>
      <c r="H87" s="3"/>
      <c r="L87" s="4"/>
      <c r="M87" s="4"/>
      <c r="N87" s="4"/>
      <c r="O87" s="4"/>
      <c r="Q87" s="9"/>
      <c r="R87" s="9"/>
      <c r="S87" s="9"/>
      <c r="T87" s="9"/>
      <c r="U87" s="9"/>
      <c r="V87" s="9"/>
      <c r="W87" s="9"/>
      <c r="X87" s="23"/>
      <c r="Y87" s="34" t="s">
        <v>43</v>
      </c>
      <c r="Z87" s="34">
        <v>27600</v>
      </c>
      <c r="AA87" s="9"/>
      <c r="AB87" s="9"/>
      <c r="AC87" s="9"/>
      <c r="AD87" s="9"/>
      <c r="AE87" s="9"/>
    </row>
    <row r="88" spans="2:36" x14ac:dyDescent="0.25">
      <c r="B88" s="4"/>
      <c r="E88" s="3"/>
      <c r="F88" s="3"/>
      <c r="G88" s="3"/>
      <c r="H88" s="3"/>
      <c r="L88" s="4"/>
      <c r="M88" s="4"/>
      <c r="N88" s="4"/>
      <c r="O88" s="4"/>
      <c r="Q88" s="9"/>
      <c r="R88" s="9"/>
      <c r="S88" s="9"/>
      <c r="T88" s="9"/>
      <c r="U88" s="9"/>
      <c r="V88" s="9"/>
      <c r="W88" s="9"/>
      <c r="X88" s="9"/>
      <c r="Y88" s="34" t="s">
        <v>44</v>
      </c>
      <c r="Z88" s="34">
        <f>Z87/4</f>
        <v>6900</v>
      </c>
      <c r="AA88" s="9"/>
      <c r="AB88" s="9"/>
      <c r="AC88" s="9"/>
      <c r="AD88" s="9"/>
      <c r="AE88" s="9"/>
      <c r="AF88" s="18"/>
    </row>
    <row r="89" spans="2:36" x14ac:dyDescent="0.25">
      <c r="B89" s="4"/>
      <c r="E89" s="3"/>
      <c r="F89" s="3"/>
      <c r="G89" s="3"/>
      <c r="H89" s="3"/>
      <c r="I89" s="19"/>
      <c r="J89" s="35"/>
      <c r="L89" s="4"/>
      <c r="M89" s="4"/>
      <c r="N89" s="4"/>
      <c r="O89" s="20"/>
      <c r="Q89" s="20"/>
      <c r="R89" s="20"/>
      <c r="S89" s="20"/>
      <c r="T89" s="20"/>
      <c r="U89" s="20"/>
      <c r="V89" s="20"/>
      <c r="W89" s="20"/>
      <c r="X89" s="20"/>
      <c r="Y89" s="9"/>
      <c r="Z89" s="9"/>
      <c r="AA89" s="9"/>
      <c r="AB89" s="9"/>
      <c r="AC89" s="9"/>
      <c r="AD89" s="9"/>
      <c r="AE89" s="9"/>
      <c r="AF89" s="18"/>
    </row>
    <row r="90" spans="2:36" x14ac:dyDescent="0.25">
      <c r="B90" s="4"/>
      <c r="E90" s="3"/>
      <c r="F90" s="3"/>
      <c r="G90" s="3"/>
      <c r="H90" s="3"/>
      <c r="L90" s="4"/>
      <c r="M90" s="4"/>
      <c r="N90" s="4"/>
      <c r="O90" s="20"/>
      <c r="Q90" s="20"/>
      <c r="R90" s="20"/>
      <c r="S90" s="20"/>
      <c r="T90" s="20"/>
      <c r="U90" s="20"/>
      <c r="V90" s="20"/>
      <c r="W90" s="20"/>
      <c r="X90" s="20"/>
      <c r="Y90" s="34" t="s">
        <v>31</v>
      </c>
      <c r="Z90" s="34">
        <v>32280</v>
      </c>
      <c r="AA90" s="9"/>
      <c r="AB90" s="9"/>
      <c r="AC90" s="9"/>
      <c r="AD90" s="9"/>
      <c r="AE90" s="9"/>
      <c r="AF90" s="18"/>
    </row>
    <row r="91" spans="2:36" x14ac:dyDescent="0.25">
      <c r="B91" s="4"/>
      <c r="E91" s="3"/>
      <c r="F91" s="3"/>
      <c r="G91" s="3"/>
      <c r="H91" s="3"/>
      <c r="L91" s="4"/>
      <c r="M91" s="4"/>
      <c r="N91" s="4"/>
      <c r="O91" s="4"/>
      <c r="Q91" s="9"/>
      <c r="R91" s="9"/>
      <c r="S91" s="9"/>
      <c r="T91" s="9"/>
      <c r="U91" s="9"/>
      <c r="V91" s="9"/>
      <c r="W91" s="9"/>
      <c r="X91" s="9"/>
      <c r="Y91" s="34" t="s">
        <v>44</v>
      </c>
      <c r="Z91" s="34">
        <f>Z90/4</f>
        <v>8070</v>
      </c>
      <c r="AA91" s="9"/>
      <c r="AB91" s="9"/>
      <c r="AC91" s="9"/>
      <c r="AD91" s="9"/>
      <c r="AE91" s="9"/>
      <c r="AF91" s="18"/>
    </row>
    <row r="92" spans="2:36" x14ac:dyDescent="0.25">
      <c r="F92" s="1"/>
      <c r="G92" s="1"/>
      <c r="H92" s="1"/>
      <c r="J92" s="1" t="s">
        <v>32</v>
      </c>
      <c r="Q92" s="9"/>
      <c r="R92" s="4"/>
      <c r="S92" s="9"/>
      <c r="T92" s="5"/>
      <c r="U92" s="9"/>
      <c r="V92" s="4"/>
      <c r="W92" s="4"/>
      <c r="X92" s="9"/>
      <c r="Y92" s="9"/>
      <c r="Z92" s="9"/>
      <c r="AA92" s="9"/>
      <c r="AB92" s="9"/>
      <c r="AC92" s="9"/>
      <c r="AD92" s="9"/>
      <c r="AE92" s="9"/>
    </row>
    <row r="93" spans="2:36" x14ac:dyDescent="0.25">
      <c r="R93" s="4"/>
      <c r="S93" s="17"/>
      <c r="T93" s="17"/>
      <c r="U93" s="9"/>
      <c r="V93" s="4"/>
      <c r="W93" s="4"/>
      <c r="X93" s="9"/>
      <c r="Y93" s="9" t="s">
        <v>208</v>
      </c>
      <c r="Z93" s="9">
        <f>Z87-Y9-Y19-Y23-Y31-Y39-Y48-Y59-Y72</f>
        <v>10039.044117647061</v>
      </c>
      <c r="AA93" s="9"/>
      <c r="AB93" s="9"/>
      <c r="AC93" s="9"/>
      <c r="AD93" s="9"/>
      <c r="AE93" s="9"/>
    </row>
    <row r="94" spans="2:36" x14ac:dyDescent="0.25">
      <c r="Q94" s="9"/>
      <c r="R94" s="4"/>
      <c r="S94" s="16"/>
      <c r="T94" s="16"/>
      <c r="U94" s="9"/>
      <c r="V94" s="4"/>
      <c r="W94" s="4"/>
      <c r="X94" s="9"/>
      <c r="Y94" s="9" t="s">
        <v>31</v>
      </c>
      <c r="Z94" s="9">
        <f>Z93*1.17</f>
        <v>11745.68161764706</v>
      </c>
      <c r="AA94" s="9"/>
      <c r="AB94" s="9"/>
      <c r="AC94" s="9"/>
      <c r="AD94" s="9"/>
      <c r="AE94" s="9"/>
    </row>
    <row r="95" spans="2:36" x14ac:dyDescent="0.25">
      <c r="R95" s="4"/>
      <c r="S95" s="16"/>
      <c r="T95" s="16"/>
      <c r="Y95" s="9" t="s">
        <v>44</v>
      </c>
      <c r="Z95" s="9">
        <f>Z94/4</f>
        <v>2936.420404411765</v>
      </c>
      <c r="AA95" s="9"/>
      <c r="AB95" s="9"/>
      <c r="AC95" s="9"/>
      <c r="AD95" s="9"/>
      <c r="AE95" s="9"/>
    </row>
    <row r="96" spans="2:36" x14ac:dyDescent="0.25">
      <c r="T96" s="5"/>
      <c r="Y96" s="9"/>
      <c r="Z96" s="9"/>
      <c r="AA96" s="9"/>
      <c r="AB96" s="9"/>
      <c r="AC96" s="9"/>
      <c r="AD96" s="9"/>
      <c r="AE96" s="9"/>
    </row>
    <row r="97" spans="20:31" x14ac:dyDescent="0.25">
      <c r="T97" s="5"/>
      <c r="Y97" s="9" t="s">
        <v>227</v>
      </c>
      <c r="Z97" s="9">
        <v>11600</v>
      </c>
      <c r="AA97" s="9"/>
      <c r="AB97" s="9"/>
      <c r="AC97" s="9"/>
      <c r="AD97" s="9"/>
      <c r="AE97" s="9"/>
    </row>
    <row r="98" spans="20:31" x14ac:dyDescent="0.25">
      <c r="T98" s="5"/>
      <c r="Y98" s="9"/>
      <c r="Z98" s="9">
        <f>Z97/4</f>
        <v>2900</v>
      </c>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c r="Y103" s="9"/>
      <c r="Z103" s="9"/>
      <c r="AA103" s="9"/>
      <c r="AB103" s="9"/>
      <c r="AC103" s="9"/>
      <c r="AD103" s="9"/>
      <c r="AE103" s="9"/>
    </row>
    <row r="104" spans="20:31" x14ac:dyDescent="0.25">
      <c r="T104" s="5"/>
    </row>
    <row r="105" spans="20:31" x14ac:dyDescent="0.25">
      <c r="T105" s="5"/>
    </row>
    <row r="106" spans="20:31" x14ac:dyDescent="0.25">
      <c r="T106" s="5"/>
    </row>
    <row r="107" spans="20:31" x14ac:dyDescent="0.25">
      <c r="T107" s="5"/>
    </row>
    <row r="108" spans="20:31" x14ac:dyDescent="0.25">
      <c r="T108" s="5"/>
    </row>
  </sheetData>
  <autoFilter ref="B6:AE85" xr:uid="{65FA6D9B-E0AF-46CD-BA0D-86BB75FE6AB0}"/>
  <hyperlinks>
    <hyperlink ref="P37" r:id="rId1" display="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xr:uid="{1489EB5E-7DF3-4A5F-9E8C-A767CEBA6F74}"/>
    <hyperlink ref="P42" r:id="rId2" xr:uid="{F6C8DE9E-940C-477A-9B54-269D75F3511F}"/>
    <hyperlink ref="P46" r:id="rId3" xr:uid="{E4804104-0637-4152-A725-76FC21D2852F}"/>
    <hyperlink ref="P39" r:id="rId4" xr:uid="{F791B875-78F7-4737-8554-AC7AF99F203E}"/>
    <hyperlink ref="P47" r:id="rId5" xr:uid="{FED0427C-6F5E-403F-AC67-DC4A9B38ED40}"/>
    <hyperlink ref="P53" r:id="rId6" xr:uid="{272DEF4A-3E89-444A-82F3-B42BEF6F0366}"/>
    <hyperlink ref="P51" r:id="rId7" xr:uid="{199F5AC8-4220-46D7-82E7-080613812B6B}"/>
    <hyperlink ref="P55" r:id="rId8" xr:uid="{23D06DF8-2120-4529-AD84-050A7ADD1D31}"/>
    <hyperlink ref="P56" r:id="rId9" location="/select-flight" xr:uid="{B8F11E9D-EA73-49D7-8165-542EC5263D7A}"/>
    <hyperlink ref="P48" r:id="rId10" xr:uid="{42BDEAB3-7E49-4F0A-A42B-814D3D4014B6}"/>
    <hyperlink ref="P59" r:id="rId11" xr:uid="{B6645107-3BA1-4ACB-B10D-2D7BAB90211C}"/>
    <hyperlink ref="P62" r:id="rId12" xr:uid="{BD9004C1-8600-4349-B836-38EBCCA1F7A3}"/>
    <hyperlink ref="P28" r:id="rId13" xr:uid="{6751EFF2-C8D9-4EED-BDB1-3EBCA0CEE03A}"/>
    <hyperlink ref="P13" r:id="rId14" xr:uid="{C98727AB-AFDA-4D8F-A942-FF57B877DAE4}"/>
    <hyperlink ref="P33" r:id="rId15" xr:uid="{132E8D06-BFA9-460E-BEE4-B585C170B42E}"/>
    <hyperlink ref="P9" r:id="rId16" xr:uid="{A0FCEC13-3DB0-476A-9CDE-B4DDA33A50EA}"/>
    <hyperlink ref="P23" r:id="rId17" xr:uid="{4EA499F1-E112-499F-BB99-DD150698FB90}"/>
    <hyperlink ref="P19" r:id="rId18" xr:uid="{0FC4B894-0824-4E93-A27C-9FCC6978854A}"/>
    <hyperlink ref="P17" r:id="rId19" display="https://app.hotelbeds.com/carhire/search?baggage=4&amp;results=20&amp;sortBy=LOWEST_PRICE_FIRST&amp;field=PRICE&amp;direction=ASCENDING&amp;page=2&amp;destinationTab=Reykjav%C3%ADk&amp;pickupDate=29-06-2026&amp;pickupTime=12:00&amp;dropoffDate=03-07-2026&amp;dropoffTime=12:00&amp;sameOfficeCheckbox=false&amp;officePickupControl=1171&amp;officeDropoffControl=701&amp;typeDepartureCode=airport&amp;_timestamp=1776931327625&amp;departureTab=Keflav%C3%ADk%20International%20Airport%20(KEF)&amp;typeArrivalCode=city" xr:uid="{4CAB56EF-36F8-471A-A480-BD360C7034F7}"/>
    <hyperlink ref="P31" r:id="rId20" xr:uid="{92C8A819-FF9D-480D-BEC2-7C45489018B6}"/>
    <hyperlink ref="P57" r:id="rId21" display="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xr:uid="{A3DBB21F-3740-4A27-BD3E-6878F03BA5FD}"/>
    <hyperlink ref="P11" r:id="rId22" xr:uid="{8986A0AB-48E5-4B10-8A59-8B0A1B0F9184}"/>
    <hyperlink ref="P24" r:id="rId23" xr:uid="{B2A8547A-0FF5-44AD-B0D3-917D7233FA0B}"/>
  </hyperlinks>
  <pageMargins left="0.7" right="0.7" top="0.75" bottom="0.75" header="0.3" footer="0.3"/>
  <pageSetup paperSize="9" orientation="portrait" r:id="rId2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9A3B7-BC98-43B9-B179-28E15FE2C380}">
  <sheetPr>
    <tabColor rgb="FFFFFF00"/>
  </sheetPr>
  <dimension ref="B2:AJ108"/>
  <sheetViews>
    <sheetView zoomScale="80" zoomScaleNormal="80" workbookViewId="0">
      <selection activeCell="J17" sqref="J1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customWidth="1" outlineLevel="1"/>
    <col min="9" max="9" width="21.7109375" style="1" customWidth="1" outlineLevel="1"/>
    <col min="10" max="10" width="53.85546875" style="1" customWidth="1"/>
    <col min="11" max="12" width="8.140625" style="1" customWidth="1" outlineLevel="1"/>
    <col min="13" max="13" width="24" style="1" customWidth="1" outlineLevel="1"/>
    <col min="14" max="15" width="11.7109375" style="1" customWidth="1" outlineLevel="1"/>
    <col min="16" max="16" width="8.140625" style="1" customWidth="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customWidth="1" outlineLevel="1"/>
    <col min="37" max="82" width="9" style="1" customWidth="1"/>
    <col min="83" max="16384" width="8.7109375" style="1"/>
  </cols>
  <sheetData>
    <row r="2" spans="2:36" x14ac:dyDescent="0.25">
      <c r="B2" s="2" t="s">
        <v>212</v>
      </c>
    </row>
    <row r="3" spans="2:36" x14ac:dyDescent="0.25">
      <c r="B3" s="2" t="s">
        <v>45</v>
      </c>
    </row>
    <row r="4" spans="2:36" x14ac:dyDescent="0.25">
      <c r="B4" s="2" t="s">
        <v>46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47</v>
      </c>
      <c r="D7" s="1" t="s">
        <v>48</v>
      </c>
      <c r="E7" s="3" t="s">
        <v>77</v>
      </c>
      <c r="F7" s="3"/>
      <c r="G7" s="3"/>
      <c r="H7" s="3"/>
      <c r="J7" s="1" t="s">
        <v>52</v>
      </c>
      <c r="K7" s="4"/>
      <c r="L7" s="4"/>
      <c r="M7" s="4"/>
      <c r="N7" s="4"/>
      <c r="O7" s="4"/>
      <c r="P7" s="27"/>
      <c r="Q7" s="25">
        <v>0</v>
      </c>
      <c r="R7" s="25">
        <v>0</v>
      </c>
      <c r="S7" s="12">
        <f t="shared" ref="S7:S70" si="0">+Q7*R7</f>
        <v>0</v>
      </c>
      <c r="T7" s="5">
        <v>0</v>
      </c>
      <c r="U7" s="12">
        <f t="shared" ref="U7:U70" si="1">S7*(1-T7)</f>
        <v>0</v>
      </c>
      <c r="V7" s="25" t="s">
        <v>10</v>
      </c>
      <c r="W7" s="11">
        <f>IFERROR(VLOOKUP(V7,Curr!$B$2:$C$13,2,FALSE),0)</f>
        <v>10.8</v>
      </c>
      <c r="X7" s="12">
        <f t="shared" ref="X7:X70" si="2">U7*W7</f>
        <v>0</v>
      </c>
      <c r="Y7" s="26">
        <f t="shared" ref="Y7:Y8" si="3">Q7</f>
        <v>0</v>
      </c>
      <c r="Z7" s="12">
        <f t="shared" ref="Z7:Z70" si="4">+Y7*R7</f>
        <v>0</v>
      </c>
      <c r="AA7" s="4" t="s">
        <v>10</v>
      </c>
      <c r="AB7" s="11">
        <f>IFERROR(VLOOKUP(AA7,Curr!$B$2:$C$13,2,FALSE),0)</f>
        <v>10.8</v>
      </c>
      <c r="AC7" s="12">
        <f t="shared" ref="AC7:AC70" si="5">+Y7*AB7*R7</f>
        <v>0</v>
      </c>
      <c r="AD7" s="12">
        <f t="shared" ref="AD7:AD70" si="6">+AC7-X7</f>
        <v>0</v>
      </c>
      <c r="AE7" s="13">
        <f t="shared" ref="AE7:AE70" si="7">IFERROR(AD7/AC7,0)</f>
        <v>0</v>
      </c>
    </row>
    <row r="8" spans="2:36" x14ac:dyDescent="0.25">
      <c r="B8" s="4"/>
      <c r="C8" s="1" t="s">
        <v>47</v>
      </c>
      <c r="D8" s="1" t="s">
        <v>180</v>
      </c>
      <c r="E8" s="3" t="s">
        <v>77</v>
      </c>
      <c r="F8" s="3"/>
      <c r="G8" s="24"/>
      <c r="H8" s="24"/>
      <c r="J8" s="1" t="s">
        <v>181</v>
      </c>
      <c r="K8" s="4"/>
      <c r="L8" s="4"/>
      <c r="M8" s="4"/>
      <c r="N8" s="4"/>
      <c r="O8" s="4"/>
      <c r="P8" s="33"/>
      <c r="Q8" s="25">
        <v>160</v>
      </c>
      <c r="R8" s="25">
        <v>1</v>
      </c>
      <c r="S8" s="12">
        <f t="shared" si="0"/>
        <v>160</v>
      </c>
      <c r="T8" s="5">
        <v>0.2</v>
      </c>
      <c r="U8" s="12">
        <f t="shared" si="1"/>
        <v>128</v>
      </c>
      <c r="V8" s="25" t="s">
        <v>10</v>
      </c>
      <c r="W8" s="11">
        <f>IFERROR(VLOOKUP(V8,Curr!$B$2:$C$13,2,FALSE),0)</f>
        <v>10.8</v>
      </c>
      <c r="X8" s="12">
        <f t="shared" si="2"/>
        <v>1382.4</v>
      </c>
      <c r="Y8" s="26">
        <f t="shared" si="3"/>
        <v>160</v>
      </c>
      <c r="Z8" s="12">
        <f t="shared" si="4"/>
        <v>160</v>
      </c>
      <c r="AA8" s="4" t="s">
        <v>10</v>
      </c>
      <c r="AB8" s="11">
        <f>IFERROR(VLOOKUP(AA8,Curr!$B$2:$C$13,2,FALSE),0)</f>
        <v>10.8</v>
      </c>
      <c r="AC8" s="12">
        <f t="shared" si="5"/>
        <v>1728</v>
      </c>
      <c r="AD8" s="12">
        <f t="shared" si="6"/>
        <v>345.59999999999991</v>
      </c>
      <c r="AE8" s="13">
        <f t="shared" si="7"/>
        <v>0.19999999999999996</v>
      </c>
    </row>
    <row r="9" spans="2:36" x14ac:dyDescent="0.25">
      <c r="B9" s="4"/>
      <c r="C9" s="1" t="s">
        <v>47</v>
      </c>
      <c r="D9" s="1" t="s">
        <v>50</v>
      </c>
      <c r="E9" s="3" t="s">
        <v>77</v>
      </c>
      <c r="F9" s="3" t="s">
        <v>82</v>
      </c>
      <c r="G9" s="24"/>
      <c r="H9" s="24"/>
      <c r="J9" s="1" t="s">
        <v>241</v>
      </c>
      <c r="K9" s="4"/>
      <c r="L9" s="4"/>
      <c r="M9" s="4"/>
      <c r="N9" s="4"/>
      <c r="O9" s="4"/>
      <c r="P9" s="33" t="s">
        <v>242</v>
      </c>
      <c r="Q9" s="25">
        <v>4156</v>
      </c>
      <c r="R9" s="25">
        <v>1</v>
      </c>
      <c r="S9" s="12">
        <f t="shared" si="0"/>
        <v>4156</v>
      </c>
      <c r="T9" s="5">
        <v>0</v>
      </c>
      <c r="U9" s="12">
        <f t="shared" si="1"/>
        <v>4156</v>
      </c>
      <c r="V9" s="25" t="s">
        <v>10</v>
      </c>
      <c r="W9" s="11">
        <f>IFERROR(VLOOKUP(V9,Curr!$B$2:$C$13,2,FALSE),0)</f>
        <v>10.8</v>
      </c>
      <c r="X9" s="12">
        <f t="shared" si="2"/>
        <v>44884.800000000003</v>
      </c>
      <c r="Y9" s="26">
        <f>Q9/0.8</f>
        <v>5195</v>
      </c>
      <c r="Z9" s="12">
        <f t="shared" si="4"/>
        <v>5195</v>
      </c>
      <c r="AA9" s="4" t="s">
        <v>10</v>
      </c>
      <c r="AB9" s="11">
        <f>IFERROR(VLOOKUP(AA9,Curr!$B$2:$C$13,2,FALSE),0)</f>
        <v>10.8</v>
      </c>
      <c r="AC9" s="12">
        <f t="shared" si="5"/>
        <v>56106.000000000007</v>
      </c>
      <c r="AD9" s="12">
        <f t="shared" si="6"/>
        <v>11221.200000000004</v>
      </c>
      <c r="AE9" s="13">
        <f t="shared" si="7"/>
        <v>0.20000000000000004</v>
      </c>
    </row>
    <row r="10" spans="2:36" x14ac:dyDescent="0.25">
      <c r="B10" s="4"/>
      <c r="C10" s="1" t="s">
        <v>47</v>
      </c>
      <c r="D10" s="1" t="s">
        <v>51</v>
      </c>
      <c r="E10" s="3" t="s">
        <v>77</v>
      </c>
      <c r="F10" s="3"/>
      <c r="G10" s="24"/>
      <c r="H10" s="24"/>
      <c r="J10" s="1" t="s">
        <v>53</v>
      </c>
      <c r="K10" s="4"/>
      <c r="L10" s="4"/>
      <c r="M10" s="4"/>
      <c r="N10" s="4"/>
      <c r="O10" s="4"/>
      <c r="P10" s="33"/>
      <c r="Q10" s="25">
        <v>0</v>
      </c>
      <c r="R10" s="25">
        <v>0</v>
      </c>
      <c r="S10" s="12">
        <f t="shared" si="0"/>
        <v>0</v>
      </c>
      <c r="T10" s="5">
        <v>0</v>
      </c>
      <c r="U10" s="12">
        <f t="shared" si="1"/>
        <v>0</v>
      </c>
      <c r="V10" s="25" t="s">
        <v>10</v>
      </c>
      <c r="W10" s="11">
        <f>IFERROR(VLOOKUP(V10,Curr!$B$2:$C$13,2,FALSE),0)</f>
        <v>10.8</v>
      </c>
      <c r="X10" s="12">
        <f t="shared" si="2"/>
        <v>0</v>
      </c>
      <c r="Y10" s="26">
        <f t="shared" ref="Y10:Y36" si="8">Q10</f>
        <v>0</v>
      </c>
      <c r="Z10" s="12">
        <f t="shared" si="4"/>
        <v>0</v>
      </c>
      <c r="AA10" s="4" t="s">
        <v>10</v>
      </c>
      <c r="AB10" s="11">
        <f>IFERROR(VLOOKUP(AA10,Curr!$B$2:$C$13,2,FALSE),0)</f>
        <v>10.8</v>
      </c>
      <c r="AC10" s="12">
        <f t="shared" si="5"/>
        <v>0</v>
      </c>
      <c r="AD10" s="12">
        <f t="shared" si="6"/>
        <v>0</v>
      </c>
      <c r="AE10" s="13">
        <f t="shared" si="7"/>
        <v>0</v>
      </c>
    </row>
    <row r="11" spans="2:36" x14ac:dyDescent="0.25">
      <c r="B11" s="4"/>
      <c r="C11" s="1" t="s">
        <v>47</v>
      </c>
      <c r="D11" s="1" t="s">
        <v>56</v>
      </c>
      <c r="E11" s="3" t="s">
        <v>77</v>
      </c>
      <c r="F11" s="3"/>
      <c r="G11" s="24"/>
      <c r="H11" s="24"/>
      <c r="J11" s="1" t="s">
        <v>150</v>
      </c>
      <c r="K11" s="4"/>
      <c r="L11" s="4"/>
      <c r="M11" s="4"/>
      <c r="N11" s="4"/>
      <c r="O11" s="4"/>
      <c r="P11" s="33" t="s">
        <v>73</v>
      </c>
      <c r="Q11" s="25">
        <v>127</v>
      </c>
      <c r="R11" s="25">
        <v>4</v>
      </c>
      <c r="S11" s="12">
        <f t="shared" si="0"/>
        <v>508</v>
      </c>
      <c r="T11" s="5">
        <v>0.25</v>
      </c>
      <c r="U11" s="12">
        <f t="shared" si="1"/>
        <v>381</v>
      </c>
      <c r="V11" s="25" t="s">
        <v>10</v>
      </c>
      <c r="W11" s="11">
        <f>IFERROR(VLOOKUP(V11,Curr!$B$2:$C$13,2,FALSE),0)</f>
        <v>10.8</v>
      </c>
      <c r="X11" s="12">
        <f t="shared" si="2"/>
        <v>4114.8</v>
      </c>
      <c r="Y11" s="26">
        <f t="shared" si="8"/>
        <v>127</v>
      </c>
      <c r="Z11" s="12">
        <f t="shared" si="4"/>
        <v>508</v>
      </c>
      <c r="AA11" s="4" t="s">
        <v>10</v>
      </c>
      <c r="AB11" s="11">
        <f>IFERROR(VLOOKUP(AA11,Curr!$B$2:$C$13,2,FALSE),0)</f>
        <v>10.8</v>
      </c>
      <c r="AC11" s="12">
        <f t="shared" si="5"/>
        <v>5486.4000000000005</v>
      </c>
      <c r="AD11" s="12">
        <f t="shared" si="6"/>
        <v>1371.6000000000004</v>
      </c>
      <c r="AE11" s="13">
        <f t="shared" si="7"/>
        <v>0.25000000000000006</v>
      </c>
    </row>
    <row r="12" spans="2:36" x14ac:dyDescent="0.25">
      <c r="B12" s="4"/>
      <c r="E12" s="3"/>
      <c r="F12" s="3"/>
      <c r="G12" s="24"/>
      <c r="H12" s="24"/>
      <c r="K12" s="4"/>
      <c r="L12" s="4"/>
      <c r="M12" s="4"/>
      <c r="N12" s="4"/>
      <c r="O12" s="4"/>
      <c r="P12" s="33"/>
      <c r="Q12" s="25"/>
      <c r="R12" s="25"/>
      <c r="S12" s="12">
        <f t="shared" si="0"/>
        <v>0</v>
      </c>
      <c r="T12" s="5">
        <v>0</v>
      </c>
      <c r="U12" s="12">
        <f t="shared" si="1"/>
        <v>0</v>
      </c>
      <c r="V12" s="25" t="s">
        <v>10</v>
      </c>
      <c r="W12" s="11">
        <f>IFERROR(VLOOKUP(V12,Curr!$B$2:$C$13,2,FALSE),0)</f>
        <v>10.8</v>
      </c>
      <c r="X12" s="12">
        <f t="shared" si="2"/>
        <v>0</v>
      </c>
      <c r="Y12" s="26">
        <f t="shared" si="8"/>
        <v>0</v>
      </c>
      <c r="Z12" s="12">
        <f t="shared" si="4"/>
        <v>0</v>
      </c>
      <c r="AA12" s="4" t="s">
        <v>10</v>
      </c>
      <c r="AB12" s="11">
        <f>IFERROR(VLOOKUP(AA12,Curr!$B$2:$C$13,2,FALSE),0)</f>
        <v>10.8</v>
      </c>
      <c r="AC12" s="12">
        <f t="shared" si="5"/>
        <v>0</v>
      </c>
      <c r="AD12" s="12">
        <f t="shared" si="6"/>
        <v>0</v>
      </c>
      <c r="AE12" s="13">
        <f t="shared" si="7"/>
        <v>0</v>
      </c>
    </row>
    <row r="13" spans="2:36" x14ac:dyDescent="0.25">
      <c r="B13" s="4"/>
      <c r="C13" s="1" t="s">
        <v>55</v>
      </c>
      <c r="D13" s="1" t="s">
        <v>56</v>
      </c>
      <c r="E13" s="3" t="s">
        <v>79</v>
      </c>
      <c r="F13" s="3"/>
      <c r="G13" s="24"/>
      <c r="H13" s="24"/>
      <c r="J13" s="1" t="s">
        <v>233</v>
      </c>
      <c r="K13" s="4"/>
      <c r="L13" s="4"/>
      <c r="M13" s="4"/>
      <c r="N13" s="4"/>
      <c r="O13" s="4"/>
      <c r="P13" s="33" t="s">
        <v>71</v>
      </c>
      <c r="Q13" s="25">
        <v>35</v>
      </c>
      <c r="R13" s="25">
        <v>4</v>
      </c>
      <c r="S13" s="12">
        <f t="shared" si="0"/>
        <v>140</v>
      </c>
      <c r="T13" s="5">
        <v>0.2</v>
      </c>
      <c r="U13" s="12">
        <f t="shared" si="1"/>
        <v>112</v>
      </c>
      <c r="V13" s="25" t="s">
        <v>10</v>
      </c>
      <c r="W13" s="11">
        <f>IFERROR(VLOOKUP(V13,Curr!$B$2:$C$13,2,FALSE),0)</f>
        <v>10.8</v>
      </c>
      <c r="X13" s="12">
        <f t="shared" si="2"/>
        <v>1209.6000000000001</v>
      </c>
      <c r="Y13" s="26">
        <f>Q13/0.8</f>
        <v>43.75</v>
      </c>
      <c r="Z13" s="12">
        <f t="shared" si="4"/>
        <v>175</v>
      </c>
      <c r="AA13" s="4" t="s">
        <v>10</v>
      </c>
      <c r="AB13" s="11">
        <f>IFERROR(VLOOKUP(AA13,Curr!$B$2:$C$13,2,FALSE),0)</f>
        <v>10.8</v>
      </c>
      <c r="AC13" s="12">
        <f t="shared" si="5"/>
        <v>1890.0000000000002</v>
      </c>
      <c r="AD13" s="12">
        <f t="shared" si="6"/>
        <v>680.40000000000009</v>
      </c>
      <c r="AE13" s="13">
        <f t="shared" si="7"/>
        <v>0.36</v>
      </c>
    </row>
    <row r="14" spans="2:36" x14ac:dyDescent="0.25">
      <c r="B14" s="4"/>
      <c r="C14" s="1" t="s">
        <v>55</v>
      </c>
      <c r="D14" s="1" t="s">
        <v>51</v>
      </c>
      <c r="E14" s="3" t="s">
        <v>79</v>
      </c>
      <c r="F14" s="3"/>
      <c r="G14" s="24"/>
      <c r="H14" s="24"/>
      <c r="J14" s="1" t="s">
        <v>53</v>
      </c>
      <c r="K14" s="4"/>
      <c r="L14" s="4"/>
      <c r="M14" s="4"/>
      <c r="N14" s="4"/>
      <c r="O14" s="4"/>
      <c r="P14" s="33"/>
      <c r="Q14" s="25">
        <v>0</v>
      </c>
      <c r="R14" s="25">
        <v>0</v>
      </c>
      <c r="S14" s="12">
        <f t="shared" si="0"/>
        <v>0</v>
      </c>
      <c r="T14" s="5">
        <v>0</v>
      </c>
      <c r="U14" s="12">
        <f t="shared" si="1"/>
        <v>0</v>
      </c>
      <c r="V14" s="25" t="s">
        <v>10</v>
      </c>
      <c r="W14" s="11">
        <f>IFERROR(VLOOKUP(V14,Curr!$B$2:$C$13,2,FALSE),0)</f>
        <v>10.8</v>
      </c>
      <c r="X14" s="12">
        <f t="shared" si="2"/>
        <v>0</v>
      </c>
      <c r="Y14" s="26">
        <f t="shared" si="8"/>
        <v>0</v>
      </c>
      <c r="Z14" s="12">
        <f t="shared" si="4"/>
        <v>0</v>
      </c>
      <c r="AA14" s="4" t="s">
        <v>10</v>
      </c>
      <c r="AB14" s="11">
        <f>IFERROR(VLOOKUP(AA14,Curr!$B$2:$C$13,2,FALSE),0)</f>
        <v>10.8</v>
      </c>
      <c r="AC14" s="12">
        <f t="shared" si="5"/>
        <v>0</v>
      </c>
      <c r="AD14" s="12">
        <f t="shared" si="6"/>
        <v>0</v>
      </c>
      <c r="AE14" s="13">
        <f t="shared" si="7"/>
        <v>0</v>
      </c>
    </row>
    <row r="15" spans="2:36" x14ac:dyDescent="0.25">
      <c r="B15" s="4"/>
      <c r="E15" s="3"/>
      <c r="F15" s="3"/>
      <c r="G15" s="24"/>
      <c r="H15" s="24"/>
      <c r="K15" s="4"/>
      <c r="L15" s="4"/>
      <c r="M15" s="4"/>
      <c r="N15" s="4"/>
      <c r="O15" s="4"/>
      <c r="P15" s="33"/>
      <c r="Q15" s="25"/>
      <c r="R15" s="25"/>
      <c r="S15" s="12">
        <f t="shared" si="0"/>
        <v>0</v>
      </c>
      <c r="T15" s="5">
        <v>0</v>
      </c>
      <c r="U15" s="12">
        <f t="shared" si="1"/>
        <v>0</v>
      </c>
      <c r="V15" s="25" t="s">
        <v>10</v>
      </c>
      <c r="W15" s="11">
        <f>IFERROR(VLOOKUP(V15,Curr!$B$2:$C$13,2,FALSE),0)</f>
        <v>10.8</v>
      </c>
      <c r="X15" s="12">
        <f t="shared" si="2"/>
        <v>0</v>
      </c>
      <c r="Y15" s="26">
        <f t="shared" si="8"/>
        <v>0</v>
      </c>
      <c r="Z15" s="12">
        <f t="shared" si="4"/>
        <v>0</v>
      </c>
      <c r="AA15" s="4" t="s">
        <v>10</v>
      </c>
      <c r="AB15" s="11">
        <f>IFERROR(VLOOKUP(AA15,Curr!$B$2:$C$13,2,FALSE),0)</f>
        <v>10.8</v>
      </c>
      <c r="AC15" s="12">
        <f t="shared" si="5"/>
        <v>0</v>
      </c>
      <c r="AD15" s="12">
        <f t="shared" si="6"/>
        <v>0</v>
      </c>
      <c r="AE15" s="13">
        <f t="shared" si="7"/>
        <v>0</v>
      </c>
    </row>
    <row r="16" spans="2:36" x14ac:dyDescent="0.25">
      <c r="B16" s="4"/>
      <c r="C16" s="1" t="s">
        <v>57</v>
      </c>
      <c r="D16" s="1" t="s">
        <v>49</v>
      </c>
      <c r="E16" s="3" t="s">
        <v>82</v>
      </c>
      <c r="F16" s="3"/>
      <c r="G16" s="24"/>
      <c r="H16" s="24"/>
      <c r="J16" s="1" t="s">
        <v>182</v>
      </c>
      <c r="K16" s="4"/>
      <c r="L16" s="4"/>
      <c r="M16" s="4"/>
      <c r="N16" s="4"/>
      <c r="O16" s="4"/>
      <c r="P16" s="33"/>
      <c r="Q16" s="25">
        <v>0</v>
      </c>
      <c r="R16" s="25">
        <v>0</v>
      </c>
      <c r="S16" s="12">
        <f t="shared" si="0"/>
        <v>0</v>
      </c>
      <c r="T16" s="5">
        <v>0</v>
      </c>
      <c r="U16" s="12">
        <f t="shared" si="1"/>
        <v>0</v>
      </c>
      <c r="V16" s="25" t="s">
        <v>10</v>
      </c>
      <c r="W16" s="11">
        <f>IFERROR(VLOOKUP(V16,Curr!$B$2:$C$13,2,FALSE),0)</f>
        <v>10.8</v>
      </c>
      <c r="X16" s="12">
        <f t="shared" si="2"/>
        <v>0</v>
      </c>
      <c r="Y16" s="26">
        <f t="shared" si="8"/>
        <v>0</v>
      </c>
      <c r="Z16" s="12">
        <f t="shared" si="4"/>
        <v>0</v>
      </c>
      <c r="AA16" s="4" t="s">
        <v>10</v>
      </c>
      <c r="AB16" s="11">
        <f>IFERROR(VLOOKUP(AA16,Curr!$B$2:$C$13,2,FALSE),0)</f>
        <v>10.8</v>
      </c>
      <c r="AC16" s="12">
        <f t="shared" si="5"/>
        <v>0</v>
      </c>
      <c r="AD16" s="12">
        <f t="shared" si="6"/>
        <v>0</v>
      </c>
      <c r="AE16" s="13">
        <f t="shared" si="7"/>
        <v>0</v>
      </c>
    </row>
    <row r="17" spans="2:31" x14ac:dyDescent="0.25">
      <c r="B17" s="4"/>
      <c r="C17" s="1" t="s">
        <v>57</v>
      </c>
      <c r="D17" s="1" t="s">
        <v>74</v>
      </c>
      <c r="E17" s="3" t="s">
        <v>82</v>
      </c>
      <c r="F17" s="3" t="s">
        <v>59</v>
      </c>
      <c r="G17" s="24"/>
      <c r="H17" s="24"/>
      <c r="J17" s="1" t="s">
        <v>194</v>
      </c>
      <c r="K17" s="4"/>
      <c r="L17" s="4"/>
      <c r="M17" s="4"/>
      <c r="N17" s="4"/>
      <c r="O17" s="4"/>
      <c r="P17" s="33" t="s">
        <v>221</v>
      </c>
      <c r="Q17" s="25">
        <v>564</v>
      </c>
      <c r="R17" s="25">
        <v>1</v>
      </c>
      <c r="S17" s="12">
        <f t="shared" si="0"/>
        <v>564</v>
      </c>
      <c r="T17" s="5">
        <v>0</v>
      </c>
      <c r="U17" s="12">
        <f t="shared" si="1"/>
        <v>564</v>
      </c>
      <c r="V17" s="25" t="s">
        <v>10</v>
      </c>
      <c r="W17" s="11">
        <f>IFERROR(VLOOKUP(V17,Curr!$B$2:$C$13,2,FALSE),0)</f>
        <v>10.8</v>
      </c>
      <c r="X17" s="12">
        <f t="shared" si="2"/>
        <v>6091.2000000000007</v>
      </c>
      <c r="Y17" s="26">
        <f>Q17/0.8</f>
        <v>705</v>
      </c>
      <c r="Z17" s="12">
        <f t="shared" si="4"/>
        <v>705</v>
      </c>
      <c r="AA17" s="4" t="s">
        <v>10</v>
      </c>
      <c r="AB17" s="11">
        <f>IFERROR(VLOOKUP(AA17,Curr!$B$2:$C$13,2,FALSE),0)</f>
        <v>10.8</v>
      </c>
      <c r="AC17" s="12">
        <f t="shared" si="5"/>
        <v>7614.0000000000009</v>
      </c>
      <c r="AD17" s="12">
        <f t="shared" si="6"/>
        <v>1522.8000000000002</v>
      </c>
      <c r="AE17" s="13">
        <f t="shared" si="7"/>
        <v>0.2</v>
      </c>
    </row>
    <row r="18" spans="2:31" x14ac:dyDescent="0.25">
      <c r="B18" s="4"/>
      <c r="C18" s="1" t="s">
        <v>57</v>
      </c>
      <c r="D18" s="1" t="s">
        <v>75</v>
      </c>
      <c r="E18" s="3" t="s">
        <v>82</v>
      </c>
      <c r="F18" s="3"/>
      <c r="G18" s="24"/>
      <c r="H18" s="24"/>
      <c r="J18" s="1" t="s">
        <v>218</v>
      </c>
      <c r="K18" s="4"/>
      <c r="L18" s="4"/>
      <c r="M18" s="4"/>
      <c r="N18" s="4"/>
      <c r="O18" s="4"/>
      <c r="P18" s="33"/>
      <c r="Q18" s="25">
        <v>0</v>
      </c>
      <c r="R18" s="25">
        <v>0</v>
      </c>
      <c r="S18" s="12">
        <f t="shared" si="0"/>
        <v>0</v>
      </c>
      <c r="T18" s="5">
        <v>0</v>
      </c>
      <c r="U18" s="12">
        <f t="shared" si="1"/>
        <v>0</v>
      </c>
      <c r="V18" s="25" t="s">
        <v>10</v>
      </c>
      <c r="W18" s="11">
        <f>IFERROR(VLOOKUP(V18,Curr!$B$2:$C$13,2,FALSE),0)</f>
        <v>10.8</v>
      </c>
      <c r="X18" s="12">
        <f t="shared" si="2"/>
        <v>0</v>
      </c>
      <c r="Y18" s="26">
        <f t="shared" si="8"/>
        <v>0</v>
      </c>
      <c r="Z18" s="12">
        <f t="shared" si="4"/>
        <v>0</v>
      </c>
      <c r="AA18" s="4" t="s">
        <v>10</v>
      </c>
      <c r="AB18" s="11">
        <f>IFERROR(VLOOKUP(AA18,Curr!$B$2:$C$13,2,FALSE),0)</f>
        <v>10.8</v>
      </c>
      <c r="AC18" s="12">
        <f t="shared" si="5"/>
        <v>0</v>
      </c>
      <c r="AD18" s="12">
        <f t="shared" si="6"/>
        <v>0</v>
      </c>
      <c r="AE18" s="13">
        <f t="shared" si="7"/>
        <v>0</v>
      </c>
    </row>
    <row r="19" spans="2:31" x14ac:dyDescent="0.25">
      <c r="B19" s="4"/>
      <c r="C19" s="1" t="s">
        <v>57</v>
      </c>
      <c r="D19" s="1" t="s">
        <v>50</v>
      </c>
      <c r="E19" s="3" t="s">
        <v>82</v>
      </c>
      <c r="F19" s="3" t="s">
        <v>213</v>
      </c>
      <c r="G19" s="24"/>
      <c r="H19" s="24"/>
      <c r="J19" s="1" t="s">
        <v>219</v>
      </c>
      <c r="K19" s="4"/>
      <c r="L19" s="4"/>
      <c r="M19" s="4"/>
      <c r="N19" s="4"/>
      <c r="O19" s="4"/>
      <c r="P19" s="33" t="s">
        <v>220</v>
      </c>
      <c r="Q19" s="25">
        <v>607</v>
      </c>
      <c r="R19" s="25">
        <v>1</v>
      </c>
      <c r="S19" s="12">
        <f t="shared" si="0"/>
        <v>607</v>
      </c>
      <c r="T19" s="5">
        <v>0</v>
      </c>
      <c r="U19" s="12">
        <f t="shared" si="1"/>
        <v>607</v>
      </c>
      <c r="V19" s="25" t="s">
        <v>10</v>
      </c>
      <c r="W19" s="11">
        <f>IFERROR(VLOOKUP(V19,Curr!$B$2:$C$13,2,FALSE),0)</f>
        <v>10.8</v>
      </c>
      <c r="X19" s="12">
        <f t="shared" si="2"/>
        <v>6555.6</v>
      </c>
      <c r="Y19" s="26">
        <f>Q19/0.8</f>
        <v>758.75</v>
      </c>
      <c r="Z19" s="12">
        <f t="shared" si="4"/>
        <v>758.75</v>
      </c>
      <c r="AA19" s="4" t="s">
        <v>10</v>
      </c>
      <c r="AB19" s="11">
        <f>IFERROR(VLOOKUP(AA19,Curr!$B$2:$C$13,2,FALSE),0)</f>
        <v>10.8</v>
      </c>
      <c r="AC19" s="12">
        <f t="shared" si="5"/>
        <v>8194.5</v>
      </c>
      <c r="AD19" s="12">
        <f t="shared" si="6"/>
        <v>1638.8999999999996</v>
      </c>
      <c r="AE19" s="13">
        <f t="shared" si="7"/>
        <v>0.19999999999999996</v>
      </c>
    </row>
    <row r="20" spans="2:31" x14ac:dyDescent="0.25">
      <c r="B20" s="4"/>
      <c r="C20" s="1" t="s">
        <v>57</v>
      </c>
      <c r="D20" s="1" t="s">
        <v>51</v>
      </c>
      <c r="E20" s="3" t="s">
        <v>82</v>
      </c>
      <c r="F20" s="3"/>
      <c r="G20" s="24"/>
      <c r="H20" s="24"/>
      <c r="J20" s="1" t="s">
        <v>185</v>
      </c>
      <c r="K20" s="4"/>
      <c r="L20" s="4"/>
      <c r="M20" s="4"/>
      <c r="N20" s="4"/>
      <c r="O20" s="4"/>
      <c r="P20" s="33"/>
      <c r="Q20" s="25">
        <v>0</v>
      </c>
      <c r="R20" s="25">
        <v>0</v>
      </c>
      <c r="S20" s="12">
        <f t="shared" si="0"/>
        <v>0</v>
      </c>
      <c r="T20" s="5">
        <v>0</v>
      </c>
      <c r="U20" s="12">
        <f t="shared" si="1"/>
        <v>0</v>
      </c>
      <c r="V20" s="25" t="s">
        <v>10</v>
      </c>
      <c r="W20" s="11">
        <f>IFERROR(VLOOKUP(V20,Curr!$B$2:$C$13,2,FALSE),0)</f>
        <v>10.8</v>
      </c>
      <c r="X20" s="12">
        <f t="shared" si="2"/>
        <v>0</v>
      </c>
      <c r="Y20" s="26">
        <f t="shared" si="8"/>
        <v>0</v>
      </c>
      <c r="Z20" s="12">
        <f t="shared" si="4"/>
        <v>0</v>
      </c>
      <c r="AA20" s="4" t="s">
        <v>10</v>
      </c>
      <c r="AB20" s="11">
        <f>IFERROR(VLOOKUP(AA20,Curr!$B$2:$C$13,2,FALSE),0)</f>
        <v>10.8</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10.8</v>
      </c>
      <c r="X21" s="12">
        <f t="shared" si="2"/>
        <v>0</v>
      </c>
      <c r="Y21" s="26">
        <f>Q21/0.8</f>
        <v>0</v>
      </c>
      <c r="Z21" s="12">
        <f t="shared" si="4"/>
        <v>0</v>
      </c>
      <c r="AA21" s="4" t="s">
        <v>10</v>
      </c>
      <c r="AB21" s="11">
        <f>IFERROR(VLOOKUP(AA21,Curr!$B$2:$C$13,2,FALSE),0)</f>
        <v>10.8</v>
      </c>
      <c r="AC21" s="12">
        <f t="shared" si="5"/>
        <v>0</v>
      </c>
      <c r="AD21" s="12">
        <f t="shared" si="6"/>
        <v>0</v>
      </c>
      <c r="AE21" s="13">
        <f t="shared" si="7"/>
        <v>0</v>
      </c>
    </row>
    <row r="22" spans="2:31" x14ac:dyDescent="0.25">
      <c r="B22" s="4"/>
      <c r="C22" s="1" t="s">
        <v>60</v>
      </c>
      <c r="D22" s="1" t="s">
        <v>75</v>
      </c>
      <c r="E22" s="3" t="s">
        <v>83</v>
      </c>
      <c r="F22" s="3"/>
      <c r="G22" s="24"/>
      <c r="H22" s="24"/>
      <c r="J22" s="1" t="s">
        <v>222</v>
      </c>
      <c r="K22" s="4"/>
      <c r="L22" s="4"/>
      <c r="M22" s="4"/>
      <c r="N22" s="4"/>
      <c r="O22" s="4"/>
      <c r="P22" s="33"/>
      <c r="Q22" s="25">
        <v>0</v>
      </c>
      <c r="R22" s="25">
        <v>0</v>
      </c>
      <c r="S22" s="12">
        <f t="shared" si="0"/>
        <v>0</v>
      </c>
      <c r="T22" s="5">
        <v>0</v>
      </c>
      <c r="U22" s="12">
        <f t="shared" si="1"/>
        <v>0</v>
      </c>
      <c r="V22" s="25" t="s">
        <v>10</v>
      </c>
      <c r="W22" s="11">
        <f>IFERROR(VLOOKUP(V22,Curr!$B$2:$C$13,2,FALSE),0)</f>
        <v>10.8</v>
      </c>
      <c r="X22" s="12">
        <f t="shared" si="2"/>
        <v>0</v>
      </c>
      <c r="Y22" s="26">
        <f t="shared" si="8"/>
        <v>0</v>
      </c>
      <c r="Z22" s="12">
        <f t="shared" si="4"/>
        <v>0</v>
      </c>
      <c r="AA22" s="4" t="s">
        <v>10</v>
      </c>
      <c r="AB22" s="11">
        <f>IFERROR(VLOOKUP(AA22,Curr!$B$2:$C$13,2,FALSE),0)</f>
        <v>10.8</v>
      </c>
      <c r="AC22" s="12">
        <f t="shared" si="5"/>
        <v>0</v>
      </c>
      <c r="AD22" s="12">
        <f t="shared" si="6"/>
        <v>0</v>
      </c>
      <c r="AE22" s="13">
        <f t="shared" si="7"/>
        <v>0</v>
      </c>
    </row>
    <row r="23" spans="2:31" x14ac:dyDescent="0.25">
      <c r="B23" s="4"/>
      <c r="C23" s="1" t="s">
        <v>60</v>
      </c>
      <c r="D23" s="1" t="s">
        <v>50</v>
      </c>
      <c r="E23" s="3" t="s">
        <v>83</v>
      </c>
      <c r="F23" s="3" t="s">
        <v>58</v>
      </c>
      <c r="G23" s="24"/>
      <c r="H23" s="24"/>
      <c r="J23" s="1" t="s">
        <v>234</v>
      </c>
      <c r="K23" s="4"/>
      <c r="L23" s="4"/>
      <c r="M23" s="4"/>
      <c r="N23" s="4"/>
      <c r="O23" s="4"/>
      <c r="P23" s="33" t="s">
        <v>215</v>
      </c>
      <c r="Q23" s="25">
        <v>4127</v>
      </c>
      <c r="R23" s="25">
        <v>1</v>
      </c>
      <c r="S23" s="12">
        <f t="shared" si="0"/>
        <v>4127</v>
      </c>
      <c r="T23" s="5">
        <v>0</v>
      </c>
      <c r="U23" s="12">
        <f t="shared" si="1"/>
        <v>4127</v>
      </c>
      <c r="V23" s="25" t="s">
        <v>10</v>
      </c>
      <c r="W23" s="11">
        <f>IFERROR(VLOOKUP(V23,Curr!$B$2:$C$13,2,FALSE),0)</f>
        <v>10.8</v>
      </c>
      <c r="X23" s="12">
        <f t="shared" si="2"/>
        <v>44571.600000000006</v>
      </c>
      <c r="Y23" s="26">
        <f>Q23/0.85</f>
        <v>4855.2941176470586</v>
      </c>
      <c r="Z23" s="12">
        <f t="shared" si="4"/>
        <v>4855.2941176470586</v>
      </c>
      <c r="AA23" s="4" t="s">
        <v>10</v>
      </c>
      <c r="AB23" s="11">
        <f>IFERROR(VLOOKUP(AA23,Curr!$B$2:$C$13,2,FALSE),0)</f>
        <v>10.8</v>
      </c>
      <c r="AC23" s="12">
        <f t="shared" si="5"/>
        <v>52437.176470588238</v>
      </c>
      <c r="AD23" s="12">
        <f t="shared" si="6"/>
        <v>7865.576470588232</v>
      </c>
      <c r="AE23" s="13">
        <f t="shared" si="7"/>
        <v>0.14999999999999994</v>
      </c>
    </row>
    <row r="24" spans="2:31" x14ac:dyDescent="0.25">
      <c r="B24" s="4"/>
      <c r="C24" s="1" t="s">
        <v>60</v>
      </c>
      <c r="D24" s="1" t="s">
        <v>56</v>
      </c>
      <c r="E24" s="3" t="s">
        <v>83</v>
      </c>
      <c r="F24" s="3"/>
      <c r="G24" s="24"/>
      <c r="H24" s="24"/>
      <c r="J24" s="1" t="s">
        <v>143</v>
      </c>
      <c r="K24" s="4"/>
      <c r="L24" s="4"/>
      <c r="M24" s="4"/>
      <c r="N24" s="4"/>
      <c r="O24" s="4"/>
      <c r="P24" s="33" t="s">
        <v>72</v>
      </c>
      <c r="Q24" s="25">
        <v>46</v>
      </c>
      <c r="R24" s="25">
        <v>4</v>
      </c>
      <c r="S24" s="12">
        <f t="shared" si="0"/>
        <v>184</v>
      </c>
      <c r="T24" s="5">
        <v>0.2</v>
      </c>
      <c r="U24" s="12">
        <f t="shared" si="1"/>
        <v>147.20000000000002</v>
      </c>
      <c r="V24" s="25" t="s">
        <v>10</v>
      </c>
      <c r="W24" s="11">
        <f>IFERROR(VLOOKUP(V24,Curr!$B$2:$C$13,2,FALSE),0)</f>
        <v>10.8</v>
      </c>
      <c r="X24" s="12">
        <f t="shared" si="2"/>
        <v>1589.7600000000002</v>
      </c>
      <c r="Y24" s="26">
        <f>Q24/0.9</f>
        <v>51.111111111111107</v>
      </c>
      <c r="Z24" s="12">
        <f t="shared" si="4"/>
        <v>204.44444444444443</v>
      </c>
      <c r="AA24" s="4" t="s">
        <v>10</v>
      </c>
      <c r="AB24" s="11">
        <f>IFERROR(VLOOKUP(AA24,Curr!$B$2:$C$13,2,FALSE),0)</f>
        <v>10.8</v>
      </c>
      <c r="AC24" s="12">
        <f t="shared" si="5"/>
        <v>2208</v>
      </c>
      <c r="AD24" s="12">
        <f t="shared" si="6"/>
        <v>618.23999999999978</v>
      </c>
      <c r="AE24" s="13">
        <f t="shared" si="7"/>
        <v>0.27999999999999992</v>
      </c>
    </row>
    <row r="25" spans="2:31" x14ac:dyDescent="0.25">
      <c r="B25" s="4"/>
      <c r="C25" s="1" t="s">
        <v>60</v>
      </c>
      <c r="D25" s="1" t="s">
        <v>51</v>
      </c>
      <c r="E25" s="3" t="s">
        <v>83</v>
      </c>
      <c r="F25" s="3"/>
      <c r="G25" s="24"/>
      <c r="H25" s="24"/>
      <c r="J25" s="1" t="s">
        <v>87</v>
      </c>
      <c r="K25" s="4"/>
      <c r="L25" s="4"/>
      <c r="M25" s="4"/>
      <c r="N25" s="4"/>
      <c r="O25" s="4"/>
      <c r="P25" s="33"/>
      <c r="Q25" s="25">
        <v>0</v>
      </c>
      <c r="R25" s="25">
        <v>0</v>
      </c>
      <c r="S25" s="12">
        <f t="shared" si="0"/>
        <v>0</v>
      </c>
      <c r="T25" s="5">
        <v>0</v>
      </c>
      <c r="U25" s="12">
        <f t="shared" si="1"/>
        <v>0</v>
      </c>
      <c r="V25" s="25" t="s">
        <v>10</v>
      </c>
      <c r="W25" s="11">
        <f>IFERROR(VLOOKUP(V25,Curr!$B$2:$C$13,2,FALSE),0)</f>
        <v>10.8</v>
      </c>
      <c r="X25" s="12">
        <f t="shared" si="2"/>
        <v>0</v>
      </c>
      <c r="Y25" s="26">
        <f t="shared" si="8"/>
        <v>0</v>
      </c>
      <c r="Z25" s="12">
        <f t="shared" si="4"/>
        <v>0</v>
      </c>
      <c r="AA25" s="4" t="s">
        <v>10</v>
      </c>
      <c r="AB25" s="11">
        <f>IFERROR(VLOOKUP(AA25,Curr!$B$2:$C$13,2,FALSE),0)</f>
        <v>10.8</v>
      </c>
      <c r="AC25" s="12">
        <f t="shared" si="5"/>
        <v>0</v>
      </c>
      <c r="AD25" s="12">
        <f t="shared" si="6"/>
        <v>0</v>
      </c>
      <c r="AE25" s="13">
        <f t="shared" si="7"/>
        <v>0</v>
      </c>
    </row>
    <row r="26" spans="2:31" x14ac:dyDescent="0.25">
      <c r="B26" s="4"/>
      <c r="E26" s="3"/>
      <c r="F26" s="3"/>
      <c r="G26" s="24"/>
      <c r="H26" s="24"/>
      <c r="K26" s="4"/>
      <c r="L26" s="4"/>
      <c r="M26" s="4"/>
      <c r="N26" s="4"/>
      <c r="O26" s="4"/>
      <c r="P26" s="33"/>
      <c r="Q26" s="25"/>
      <c r="R26" s="25"/>
      <c r="S26" s="12">
        <f t="shared" si="0"/>
        <v>0</v>
      </c>
      <c r="T26" s="5">
        <v>0</v>
      </c>
      <c r="U26" s="12">
        <f t="shared" si="1"/>
        <v>0</v>
      </c>
      <c r="V26" s="25" t="s">
        <v>10</v>
      </c>
      <c r="W26" s="11">
        <f>IFERROR(VLOOKUP(V26,Curr!$B$2:$C$13,2,FALSE),0)</f>
        <v>10.8</v>
      </c>
      <c r="X26" s="12">
        <f t="shared" si="2"/>
        <v>0</v>
      </c>
      <c r="Y26" s="26">
        <f t="shared" si="8"/>
        <v>0</v>
      </c>
      <c r="Z26" s="12">
        <f t="shared" si="4"/>
        <v>0</v>
      </c>
      <c r="AA26" s="4" t="s">
        <v>10</v>
      </c>
      <c r="AB26" s="11">
        <f>IFERROR(VLOOKUP(AA26,Curr!$B$2:$C$13,2,FALSE),0)</f>
        <v>10.8</v>
      </c>
      <c r="AC26" s="12">
        <f t="shared" si="5"/>
        <v>0</v>
      </c>
      <c r="AD26" s="12">
        <f t="shared" si="6"/>
        <v>0</v>
      </c>
      <c r="AE26" s="13">
        <f t="shared" si="7"/>
        <v>0</v>
      </c>
    </row>
    <row r="27" spans="2:31" x14ac:dyDescent="0.25">
      <c r="B27" s="4"/>
      <c r="C27" s="1" t="s">
        <v>62</v>
      </c>
      <c r="D27" s="1" t="s">
        <v>51</v>
      </c>
      <c r="E27" s="3" t="s">
        <v>91</v>
      </c>
      <c r="F27" s="3"/>
      <c r="G27" s="24"/>
      <c r="H27" s="24"/>
      <c r="J27" s="1" t="s">
        <v>87</v>
      </c>
      <c r="K27" s="4"/>
      <c r="L27" s="4"/>
      <c r="M27" s="4"/>
      <c r="N27" s="4"/>
      <c r="O27" s="4"/>
      <c r="P27" s="33"/>
      <c r="Q27" s="25">
        <v>0</v>
      </c>
      <c r="R27" s="25">
        <v>0</v>
      </c>
      <c r="S27" s="12">
        <f t="shared" si="0"/>
        <v>0</v>
      </c>
      <c r="T27" s="5">
        <v>0</v>
      </c>
      <c r="U27" s="12">
        <f t="shared" si="1"/>
        <v>0</v>
      </c>
      <c r="V27" s="25" t="s">
        <v>10</v>
      </c>
      <c r="W27" s="11">
        <f>IFERROR(VLOOKUP(V27,Curr!$B$2:$C$13,2,FALSE),0)</f>
        <v>10.8</v>
      </c>
      <c r="X27" s="12">
        <f t="shared" si="2"/>
        <v>0</v>
      </c>
      <c r="Y27" s="26">
        <f t="shared" si="8"/>
        <v>0</v>
      </c>
      <c r="Z27" s="12">
        <f t="shared" si="4"/>
        <v>0</v>
      </c>
      <c r="AA27" s="4" t="s">
        <v>10</v>
      </c>
      <c r="AB27" s="11">
        <f>IFERROR(VLOOKUP(AA27,Curr!$B$2:$C$13,2,FALSE),0)</f>
        <v>10.8</v>
      </c>
      <c r="AC27" s="12">
        <f t="shared" si="5"/>
        <v>0</v>
      </c>
      <c r="AD27" s="12">
        <f t="shared" si="6"/>
        <v>0</v>
      </c>
      <c r="AE27" s="13">
        <f t="shared" si="7"/>
        <v>0</v>
      </c>
    </row>
    <row r="28" spans="2:31" x14ac:dyDescent="0.25">
      <c r="B28" s="4"/>
      <c r="C28" s="1" t="s">
        <v>62</v>
      </c>
      <c r="D28" s="1" t="s">
        <v>56</v>
      </c>
      <c r="E28" s="3" t="s">
        <v>91</v>
      </c>
      <c r="F28" s="3"/>
      <c r="G28" s="24"/>
      <c r="H28" s="24"/>
      <c r="J28" s="1" t="s">
        <v>69</v>
      </c>
      <c r="K28" s="4"/>
      <c r="L28" s="4"/>
      <c r="M28" s="4"/>
      <c r="N28" s="4"/>
      <c r="O28" s="4"/>
      <c r="P28" s="33" t="s">
        <v>70</v>
      </c>
      <c r="Q28" s="25">
        <v>204</v>
      </c>
      <c r="R28" s="25">
        <v>4</v>
      </c>
      <c r="S28" s="12">
        <f t="shared" si="0"/>
        <v>816</v>
      </c>
      <c r="T28" s="5">
        <v>0.25</v>
      </c>
      <c r="U28" s="12">
        <f t="shared" si="1"/>
        <v>612</v>
      </c>
      <c r="V28" s="25" t="s">
        <v>10</v>
      </c>
      <c r="W28" s="11">
        <f>IFERROR(VLOOKUP(V28,Curr!$B$2:$C$13,2,FALSE),0)</f>
        <v>10.8</v>
      </c>
      <c r="X28" s="12">
        <f t="shared" si="2"/>
        <v>6609.6</v>
      </c>
      <c r="Y28" s="26">
        <f t="shared" si="8"/>
        <v>204</v>
      </c>
      <c r="Z28" s="12">
        <f t="shared" si="4"/>
        <v>816</v>
      </c>
      <c r="AA28" s="4" t="s">
        <v>10</v>
      </c>
      <c r="AB28" s="11">
        <f>IFERROR(VLOOKUP(AA28,Curr!$B$2:$C$13,2,FALSE),0)</f>
        <v>10.8</v>
      </c>
      <c r="AC28" s="12">
        <f t="shared" si="5"/>
        <v>8812.8000000000011</v>
      </c>
      <c r="AD28" s="12">
        <f t="shared" si="6"/>
        <v>2203.2000000000007</v>
      </c>
      <c r="AE28" s="13">
        <f t="shared" si="7"/>
        <v>0.25000000000000006</v>
      </c>
    </row>
    <row r="29" spans="2:31" x14ac:dyDescent="0.25">
      <c r="B29" s="4"/>
      <c r="E29" s="3"/>
      <c r="F29" s="3"/>
      <c r="G29" s="24"/>
      <c r="H29" s="24"/>
      <c r="K29" s="4"/>
      <c r="L29" s="4"/>
      <c r="M29" s="4"/>
      <c r="N29" s="4"/>
      <c r="O29" s="4"/>
      <c r="P29" s="33"/>
      <c r="Q29" s="25"/>
      <c r="R29" s="25"/>
      <c r="S29" s="12">
        <f t="shared" si="0"/>
        <v>0</v>
      </c>
      <c r="T29" s="5">
        <v>0</v>
      </c>
      <c r="U29" s="12">
        <f t="shared" si="1"/>
        <v>0</v>
      </c>
      <c r="V29" s="25" t="s">
        <v>10</v>
      </c>
      <c r="W29" s="11">
        <f>IFERROR(VLOOKUP(V29,Curr!$B$2:$C$13,2,FALSE),0)</f>
        <v>10.8</v>
      </c>
      <c r="X29" s="12">
        <f t="shared" si="2"/>
        <v>0</v>
      </c>
      <c r="Y29" s="26">
        <f t="shared" si="8"/>
        <v>0</v>
      </c>
      <c r="Z29" s="12">
        <f t="shared" si="4"/>
        <v>0</v>
      </c>
      <c r="AA29" s="4" t="s">
        <v>10</v>
      </c>
      <c r="AB29" s="11">
        <f>IFERROR(VLOOKUP(AA29,Curr!$B$2:$C$13,2,FALSE),0)</f>
        <v>10.8</v>
      </c>
      <c r="AC29" s="12">
        <f t="shared" si="5"/>
        <v>0</v>
      </c>
      <c r="AD29" s="12">
        <f t="shared" si="6"/>
        <v>0</v>
      </c>
      <c r="AE29" s="13">
        <f t="shared" si="7"/>
        <v>0</v>
      </c>
    </row>
    <row r="30" spans="2:31" x14ac:dyDescent="0.25">
      <c r="B30" s="4"/>
      <c r="C30" s="1" t="s">
        <v>65</v>
      </c>
      <c r="D30" s="1" t="s">
        <v>75</v>
      </c>
      <c r="E30" s="3" t="s">
        <v>58</v>
      </c>
      <c r="F30" s="3"/>
      <c r="G30" s="24"/>
      <c r="H30" s="24"/>
      <c r="J30" s="1" t="s">
        <v>223</v>
      </c>
      <c r="K30" s="4"/>
      <c r="L30" s="4"/>
      <c r="M30" s="4"/>
      <c r="N30" s="4"/>
      <c r="O30" s="4"/>
      <c r="P30" s="33"/>
      <c r="Q30" s="25">
        <v>0</v>
      </c>
      <c r="R30" s="25">
        <v>0</v>
      </c>
      <c r="S30" s="12">
        <f t="shared" si="0"/>
        <v>0</v>
      </c>
      <c r="T30" s="5">
        <v>0</v>
      </c>
      <c r="U30" s="12">
        <f t="shared" si="1"/>
        <v>0</v>
      </c>
      <c r="V30" s="25" t="s">
        <v>10</v>
      </c>
      <c r="W30" s="11">
        <f>IFERROR(VLOOKUP(V30,Curr!$B$2:$C$13,2,FALSE),0)</f>
        <v>10.8</v>
      </c>
      <c r="X30" s="12">
        <f t="shared" si="2"/>
        <v>0</v>
      </c>
      <c r="Y30" s="26">
        <f t="shared" si="8"/>
        <v>0</v>
      </c>
      <c r="Z30" s="12">
        <f t="shared" si="4"/>
        <v>0</v>
      </c>
      <c r="AA30" s="4" t="s">
        <v>10</v>
      </c>
      <c r="AB30" s="11">
        <f>IFERROR(VLOOKUP(AA30,Curr!$B$2:$C$13,2,FALSE),0)</f>
        <v>10.8</v>
      </c>
      <c r="AC30" s="12">
        <f t="shared" si="5"/>
        <v>0</v>
      </c>
      <c r="AD30" s="12">
        <f t="shared" si="6"/>
        <v>0</v>
      </c>
      <c r="AE30" s="13">
        <f t="shared" si="7"/>
        <v>0</v>
      </c>
    </row>
    <row r="31" spans="2:31" x14ac:dyDescent="0.25">
      <c r="B31" s="4"/>
      <c r="C31" s="1" t="s">
        <v>65</v>
      </c>
      <c r="D31" s="1" t="s">
        <v>50</v>
      </c>
      <c r="E31" s="3" t="s">
        <v>58</v>
      </c>
      <c r="F31" s="3" t="s">
        <v>59</v>
      </c>
      <c r="G31" s="24"/>
      <c r="H31" s="24"/>
      <c r="J31" s="1" t="s">
        <v>214</v>
      </c>
      <c r="K31" s="4"/>
      <c r="L31" s="4"/>
      <c r="M31" s="4"/>
      <c r="N31" s="4"/>
      <c r="O31" s="4"/>
      <c r="P31" s="33" t="s">
        <v>224</v>
      </c>
      <c r="Q31" s="25">
        <v>1091</v>
      </c>
      <c r="R31" s="25">
        <v>1</v>
      </c>
      <c r="S31" s="12">
        <f t="shared" si="0"/>
        <v>1091</v>
      </c>
      <c r="T31" s="5">
        <v>0</v>
      </c>
      <c r="U31" s="12">
        <f t="shared" si="1"/>
        <v>1091</v>
      </c>
      <c r="V31" s="25" t="s">
        <v>10</v>
      </c>
      <c r="W31" s="11">
        <f>IFERROR(VLOOKUP(V31,Curr!$B$2:$C$13,2,FALSE),0)</f>
        <v>10.8</v>
      </c>
      <c r="X31" s="12">
        <f t="shared" si="2"/>
        <v>11782.800000000001</v>
      </c>
      <c r="Y31" s="26">
        <f>Q31/0.8</f>
        <v>1363.75</v>
      </c>
      <c r="Z31" s="12">
        <f t="shared" si="4"/>
        <v>1363.75</v>
      </c>
      <c r="AA31" s="4" t="s">
        <v>10</v>
      </c>
      <c r="AB31" s="11">
        <f>IFERROR(VLOOKUP(AA31,Curr!$B$2:$C$13,2,FALSE),0)</f>
        <v>10.8</v>
      </c>
      <c r="AC31" s="12">
        <f t="shared" si="5"/>
        <v>14728.500000000002</v>
      </c>
      <c r="AD31" s="12">
        <f t="shared" si="6"/>
        <v>2945.7000000000007</v>
      </c>
      <c r="AE31" s="13">
        <f t="shared" si="7"/>
        <v>0.2</v>
      </c>
    </row>
    <row r="32" spans="2:31" x14ac:dyDescent="0.25">
      <c r="B32" s="4"/>
      <c r="C32" s="1" t="s">
        <v>65</v>
      </c>
      <c r="D32" s="1" t="s">
        <v>51</v>
      </c>
      <c r="E32" s="3" t="s">
        <v>58</v>
      </c>
      <c r="F32" s="3"/>
      <c r="G32" s="24"/>
      <c r="H32" s="24"/>
      <c r="J32" s="1" t="s">
        <v>53</v>
      </c>
      <c r="K32" s="4"/>
      <c r="L32" s="4"/>
      <c r="M32" s="4"/>
      <c r="N32" s="4"/>
      <c r="O32" s="4"/>
      <c r="P32" s="33"/>
      <c r="Q32" s="25">
        <v>0</v>
      </c>
      <c r="R32" s="25">
        <v>0</v>
      </c>
      <c r="S32" s="12">
        <f t="shared" si="0"/>
        <v>0</v>
      </c>
      <c r="T32" s="5">
        <v>0</v>
      </c>
      <c r="U32" s="12">
        <f t="shared" si="1"/>
        <v>0</v>
      </c>
      <c r="V32" s="25" t="s">
        <v>10</v>
      </c>
      <c r="W32" s="11">
        <f>IFERROR(VLOOKUP(V32,Curr!$B$2:$C$13,2,FALSE),0)</f>
        <v>10.8</v>
      </c>
      <c r="X32" s="12">
        <f t="shared" si="2"/>
        <v>0</v>
      </c>
      <c r="Y32" s="26">
        <f t="shared" ref="Y32:Y33" si="9">Q32</f>
        <v>0</v>
      </c>
      <c r="Z32" s="12">
        <f t="shared" si="4"/>
        <v>0</v>
      </c>
      <c r="AA32" s="4" t="s">
        <v>10</v>
      </c>
      <c r="AB32" s="11">
        <f>IFERROR(VLOOKUP(AA32,Curr!$B$2:$C$13,2,FALSE),0)</f>
        <v>10.8</v>
      </c>
      <c r="AC32" s="12">
        <f t="shared" si="5"/>
        <v>0</v>
      </c>
      <c r="AD32" s="12">
        <f t="shared" si="6"/>
        <v>0</v>
      </c>
      <c r="AE32" s="13">
        <f t="shared" si="7"/>
        <v>0</v>
      </c>
    </row>
    <row r="33" spans="2:31" x14ac:dyDescent="0.25">
      <c r="B33" s="4"/>
      <c r="C33" s="1" t="s">
        <v>65</v>
      </c>
      <c r="D33" s="1" t="s">
        <v>56</v>
      </c>
      <c r="E33" s="3" t="s">
        <v>58</v>
      </c>
      <c r="F33" s="3"/>
      <c r="G33" s="24"/>
      <c r="H33" s="24"/>
      <c r="J33" s="1" t="s">
        <v>188</v>
      </c>
      <c r="K33" s="4"/>
      <c r="L33" s="4"/>
      <c r="M33" s="4"/>
      <c r="N33" s="4"/>
      <c r="O33" s="4"/>
      <c r="P33" s="33" t="s">
        <v>148</v>
      </c>
      <c r="Q33" s="25">
        <v>167</v>
      </c>
      <c r="R33" s="25">
        <v>4</v>
      </c>
      <c r="S33" s="12">
        <f t="shared" si="0"/>
        <v>668</v>
      </c>
      <c r="T33" s="5">
        <v>0.2</v>
      </c>
      <c r="U33" s="12">
        <f t="shared" si="1"/>
        <v>534.4</v>
      </c>
      <c r="V33" s="25" t="s">
        <v>10</v>
      </c>
      <c r="W33" s="11">
        <f>IFERROR(VLOOKUP(V33,Curr!$B$2:$C$13,2,FALSE),0)</f>
        <v>10.8</v>
      </c>
      <c r="X33" s="12">
        <f t="shared" si="2"/>
        <v>5771.52</v>
      </c>
      <c r="Y33" s="26">
        <f t="shared" si="9"/>
        <v>167</v>
      </c>
      <c r="Z33" s="12">
        <f t="shared" si="4"/>
        <v>668</v>
      </c>
      <c r="AA33" s="4" t="s">
        <v>10</v>
      </c>
      <c r="AB33" s="11">
        <f>IFERROR(VLOOKUP(AA33,Curr!$B$2:$C$13,2,FALSE),0)</f>
        <v>10.8</v>
      </c>
      <c r="AC33" s="12">
        <f t="shared" si="5"/>
        <v>7214.4000000000005</v>
      </c>
      <c r="AD33" s="12">
        <f t="shared" si="6"/>
        <v>1442.88</v>
      </c>
      <c r="AE33" s="13">
        <f t="shared" si="7"/>
        <v>0.2</v>
      </c>
    </row>
    <row r="34" spans="2:31" x14ac:dyDescent="0.25">
      <c r="B34" s="4"/>
      <c r="E34" s="3"/>
      <c r="F34" s="3"/>
      <c r="G34" s="24"/>
      <c r="H34" s="24"/>
      <c r="K34" s="4"/>
      <c r="L34" s="4"/>
      <c r="M34" s="4"/>
      <c r="N34" s="4"/>
      <c r="O34" s="4"/>
      <c r="P34" s="33"/>
      <c r="Q34" s="25"/>
      <c r="R34" s="25"/>
      <c r="S34" s="12">
        <f t="shared" si="0"/>
        <v>0</v>
      </c>
      <c r="T34" s="5">
        <v>0</v>
      </c>
      <c r="U34" s="12">
        <f t="shared" si="1"/>
        <v>0</v>
      </c>
      <c r="V34" s="25" t="s">
        <v>10</v>
      </c>
      <c r="W34" s="11">
        <f>IFERROR(VLOOKUP(V34,Curr!$B$2:$C$13,2,FALSE),0)</f>
        <v>10.8</v>
      </c>
      <c r="X34" s="12">
        <f t="shared" si="2"/>
        <v>0</v>
      </c>
      <c r="Y34" s="26">
        <f t="shared" si="8"/>
        <v>0</v>
      </c>
      <c r="Z34" s="12">
        <f t="shared" si="4"/>
        <v>0</v>
      </c>
      <c r="AA34" s="4" t="s">
        <v>10</v>
      </c>
      <c r="AB34" s="11">
        <f>IFERROR(VLOOKUP(AA34,Curr!$B$2:$C$13,2,FALSE),0)</f>
        <v>10.8</v>
      </c>
      <c r="AC34" s="12">
        <f t="shared" si="5"/>
        <v>0</v>
      </c>
      <c r="AD34" s="12">
        <f t="shared" si="6"/>
        <v>0</v>
      </c>
      <c r="AE34" s="13">
        <f t="shared" si="7"/>
        <v>0</v>
      </c>
    </row>
    <row r="35" spans="2:31" x14ac:dyDescent="0.25">
      <c r="B35" s="4"/>
      <c r="C35" s="1" t="s">
        <v>66</v>
      </c>
      <c r="D35" s="1" t="s">
        <v>75</v>
      </c>
      <c r="E35" s="3" t="s">
        <v>59</v>
      </c>
      <c r="F35" s="3"/>
      <c r="G35" s="24"/>
      <c r="H35" s="24"/>
      <c r="J35" s="1" t="s">
        <v>96</v>
      </c>
      <c r="K35" s="4"/>
      <c r="L35" s="4"/>
      <c r="M35" s="4"/>
      <c r="N35" s="4"/>
      <c r="O35" s="4"/>
      <c r="P35" s="33"/>
      <c r="Q35" s="25">
        <v>0</v>
      </c>
      <c r="R35" s="25">
        <v>0</v>
      </c>
      <c r="S35" s="12">
        <f t="shared" si="0"/>
        <v>0</v>
      </c>
      <c r="T35" s="5">
        <v>0</v>
      </c>
      <c r="U35" s="12">
        <f t="shared" si="1"/>
        <v>0</v>
      </c>
      <c r="V35" s="25" t="s">
        <v>10</v>
      </c>
      <c r="W35" s="11">
        <f>IFERROR(VLOOKUP(V35,Curr!$B$2:$C$13,2,FALSE),0)</f>
        <v>10.8</v>
      </c>
      <c r="X35" s="12">
        <f t="shared" si="2"/>
        <v>0</v>
      </c>
      <c r="Y35" s="26">
        <f t="shared" si="8"/>
        <v>0</v>
      </c>
      <c r="Z35" s="12">
        <f t="shared" si="4"/>
        <v>0</v>
      </c>
      <c r="AA35" s="4" t="s">
        <v>10</v>
      </c>
      <c r="AB35" s="11">
        <f>IFERROR(VLOOKUP(AA35,Curr!$B$2:$C$13,2,FALSE),0)</f>
        <v>10.8</v>
      </c>
      <c r="AC35" s="12">
        <f t="shared" si="5"/>
        <v>0</v>
      </c>
      <c r="AD35" s="12">
        <f t="shared" si="6"/>
        <v>0</v>
      </c>
      <c r="AE35" s="13">
        <f t="shared" si="7"/>
        <v>0</v>
      </c>
    </row>
    <row r="36" spans="2:31" x14ac:dyDescent="0.25">
      <c r="B36" s="4"/>
      <c r="C36" s="1" t="s">
        <v>66</v>
      </c>
      <c r="D36" s="1" t="s">
        <v>74</v>
      </c>
      <c r="E36" s="3" t="s">
        <v>59</v>
      </c>
      <c r="F36" s="3"/>
      <c r="G36" s="24"/>
      <c r="H36" s="24"/>
      <c r="J36" s="1" t="s">
        <v>98</v>
      </c>
      <c r="K36" s="4"/>
      <c r="L36" s="4"/>
      <c r="M36" s="4"/>
      <c r="N36" s="4"/>
      <c r="O36" s="4"/>
      <c r="P36" s="33"/>
      <c r="Q36" s="25">
        <v>0</v>
      </c>
      <c r="R36" s="25">
        <v>0</v>
      </c>
      <c r="S36" s="12">
        <f t="shared" si="0"/>
        <v>0</v>
      </c>
      <c r="T36" s="5">
        <v>0</v>
      </c>
      <c r="U36" s="12">
        <f t="shared" si="1"/>
        <v>0</v>
      </c>
      <c r="V36" s="25" t="s">
        <v>10</v>
      </c>
      <c r="W36" s="11">
        <f>IFERROR(VLOOKUP(V36,Curr!$B$2:$C$13,2,FALSE),0)</f>
        <v>10.8</v>
      </c>
      <c r="X36" s="12">
        <f t="shared" si="2"/>
        <v>0</v>
      </c>
      <c r="Y36" s="26">
        <f t="shared" si="8"/>
        <v>0</v>
      </c>
      <c r="Z36" s="12">
        <f t="shared" si="4"/>
        <v>0</v>
      </c>
      <c r="AA36" s="4" t="s">
        <v>10</v>
      </c>
      <c r="AB36" s="11">
        <f>IFERROR(VLOOKUP(AA36,Curr!$B$2:$C$13,2,FALSE),0)</f>
        <v>10.8</v>
      </c>
      <c r="AC36" s="12">
        <f t="shared" si="5"/>
        <v>0</v>
      </c>
      <c r="AD36" s="12">
        <f t="shared" si="6"/>
        <v>0</v>
      </c>
      <c r="AE36" s="13">
        <f t="shared" si="7"/>
        <v>0</v>
      </c>
    </row>
    <row r="37" spans="2:31" x14ac:dyDescent="0.25">
      <c r="B37" s="4"/>
      <c r="C37" s="1" t="s">
        <v>66</v>
      </c>
      <c r="D37" s="1" t="s">
        <v>76</v>
      </c>
      <c r="E37" s="3" t="s">
        <v>59</v>
      </c>
      <c r="F37" s="3"/>
      <c r="G37" s="24"/>
      <c r="H37" s="24"/>
      <c r="J37" s="1" t="s">
        <v>153</v>
      </c>
      <c r="K37" s="4"/>
      <c r="L37" s="4"/>
      <c r="M37" s="4"/>
      <c r="N37" s="4"/>
      <c r="O37" s="4"/>
      <c r="P37" s="33" t="s">
        <v>154</v>
      </c>
      <c r="Q37" s="25">
        <v>2778</v>
      </c>
      <c r="R37" s="25">
        <v>4</v>
      </c>
      <c r="S37" s="12">
        <f t="shared" si="0"/>
        <v>11112</v>
      </c>
      <c r="T37" s="5">
        <v>0</v>
      </c>
      <c r="U37" s="12">
        <f t="shared" si="1"/>
        <v>11112</v>
      </c>
      <c r="V37" s="25" t="s">
        <v>8</v>
      </c>
      <c r="W37" s="11">
        <f>IFERROR(VLOOKUP(V37,Curr!$B$2:$C$13,2,FALSE),0)</f>
        <v>1</v>
      </c>
      <c r="X37" s="12">
        <f t="shared" si="2"/>
        <v>11112</v>
      </c>
      <c r="Y37" s="26">
        <f>Q37/11/0.8</f>
        <v>315.68181818181813</v>
      </c>
      <c r="Z37" s="12">
        <f t="shared" si="4"/>
        <v>1262.7272727272725</v>
      </c>
      <c r="AA37" s="4" t="s">
        <v>10</v>
      </c>
      <c r="AB37" s="11">
        <f>IFERROR(VLOOKUP(AA37,Curr!$B$2:$C$13,2,FALSE),0)</f>
        <v>10.8</v>
      </c>
      <c r="AC37" s="12">
        <f t="shared" si="5"/>
        <v>13637.454545454544</v>
      </c>
      <c r="AD37" s="12">
        <f t="shared" si="6"/>
        <v>2525.4545454545441</v>
      </c>
      <c r="AE37" s="13">
        <f t="shared" si="7"/>
        <v>0.18518518518518512</v>
      </c>
    </row>
    <row r="38" spans="2:31" x14ac:dyDescent="0.25">
      <c r="B38" s="4"/>
      <c r="C38" s="1" t="s">
        <v>66</v>
      </c>
      <c r="D38" s="1" t="s">
        <v>49</v>
      </c>
      <c r="E38" s="3" t="s">
        <v>59</v>
      </c>
      <c r="F38" s="3"/>
      <c r="G38" s="24"/>
      <c r="H38" s="24"/>
      <c r="J38" s="1" t="s">
        <v>100</v>
      </c>
      <c r="K38" s="4"/>
      <c r="L38" s="4"/>
      <c r="M38" s="4"/>
      <c r="N38" s="4"/>
      <c r="O38" s="4"/>
      <c r="P38" s="33"/>
      <c r="Q38" s="25">
        <v>1900</v>
      </c>
      <c r="R38" s="25">
        <v>1</v>
      </c>
      <c r="S38" s="12">
        <f t="shared" si="0"/>
        <v>1900</v>
      </c>
      <c r="T38" s="5">
        <v>0</v>
      </c>
      <c r="U38" s="12">
        <f t="shared" si="1"/>
        <v>1900</v>
      </c>
      <c r="V38" s="25" t="s">
        <v>8</v>
      </c>
      <c r="W38" s="11">
        <f>IFERROR(VLOOKUP(V38,Curr!$B$2:$C$13,2,FALSE),0)</f>
        <v>1</v>
      </c>
      <c r="X38" s="12">
        <f t="shared" si="2"/>
        <v>1900</v>
      </c>
      <c r="Y38" s="26">
        <f>Q38/11/0.8</f>
        <v>215.90909090909088</v>
      </c>
      <c r="Z38" s="12">
        <f t="shared" si="4"/>
        <v>215.90909090909088</v>
      </c>
      <c r="AA38" s="4" t="s">
        <v>10</v>
      </c>
      <c r="AB38" s="11">
        <f>IFERROR(VLOOKUP(AA38,Curr!$B$2:$C$13,2,FALSE),0)</f>
        <v>10.8</v>
      </c>
      <c r="AC38" s="12">
        <f t="shared" si="5"/>
        <v>2331.8181818181815</v>
      </c>
      <c r="AD38" s="12">
        <f t="shared" si="6"/>
        <v>431.81818181818153</v>
      </c>
      <c r="AE38" s="13">
        <f t="shared" si="7"/>
        <v>0.18518518518518509</v>
      </c>
    </row>
    <row r="39" spans="2:31" x14ac:dyDescent="0.25">
      <c r="B39" s="4"/>
      <c r="C39" s="1" t="s">
        <v>66</v>
      </c>
      <c r="D39" s="1" t="s">
        <v>50</v>
      </c>
      <c r="E39" s="3" t="s">
        <v>59</v>
      </c>
      <c r="F39" s="3" t="s">
        <v>63</v>
      </c>
      <c r="G39" s="24"/>
      <c r="H39" s="24"/>
      <c r="J39" s="1" t="s">
        <v>195</v>
      </c>
      <c r="K39" s="4"/>
      <c r="L39" s="4"/>
      <c r="M39" s="4"/>
      <c r="N39" s="4"/>
      <c r="O39" s="4"/>
      <c r="P39" s="33" t="s">
        <v>196</v>
      </c>
      <c r="Q39" s="25">
        <v>2058</v>
      </c>
      <c r="R39" s="25">
        <v>1</v>
      </c>
      <c r="S39" s="12">
        <f t="shared" si="0"/>
        <v>2058</v>
      </c>
      <c r="T39" s="5">
        <v>0</v>
      </c>
      <c r="U39" s="12">
        <f t="shared" si="1"/>
        <v>2058</v>
      </c>
      <c r="V39" s="25" t="s">
        <v>10</v>
      </c>
      <c r="W39" s="11">
        <f>IFERROR(VLOOKUP(V39,Curr!$B$2:$C$13,2,FALSE),0)</f>
        <v>10.8</v>
      </c>
      <c r="X39" s="12">
        <f t="shared" si="2"/>
        <v>22226.400000000001</v>
      </c>
      <c r="Y39" s="26">
        <f>Q39/0.85</f>
        <v>2421.1764705882351</v>
      </c>
      <c r="Z39" s="12">
        <f t="shared" si="4"/>
        <v>2421.1764705882351</v>
      </c>
      <c r="AA39" s="4" t="s">
        <v>10</v>
      </c>
      <c r="AB39" s="11">
        <f>IFERROR(VLOOKUP(AA39,Curr!$B$2:$C$13,2,FALSE),0)</f>
        <v>10.8</v>
      </c>
      <c r="AC39" s="12">
        <f t="shared" si="5"/>
        <v>26148.705882352941</v>
      </c>
      <c r="AD39" s="12">
        <f t="shared" si="6"/>
        <v>3922.3058823529391</v>
      </c>
      <c r="AE39" s="13">
        <f t="shared" si="7"/>
        <v>0.14999999999999991</v>
      </c>
    </row>
    <row r="40" spans="2:31" x14ac:dyDescent="0.25">
      <c r="B40" s="4"/>
      <c r="C40" s="1" t="s">
        <v>66</v>
      </c>
      <c r="D40" s="1" t="s">
        <v>51</v>
      </c>
      <c r="E40" s="3" t="s">
        <v>59</v>
      </c>
      <c r="F40" s="3"/>
      <c r="G40" s="24"/>
      <c r="H40" s="24"/>
      <c r="J40" s="1" t="s">
        <v>102</v>
      </c>
      <c r="K40" s="4"/>
      <c r="L40" s="4"/>
      <c r="M40" s="4"/>
      <c r="N40" s="4"/>
      <c r="O40" s="4"/>
      <c r="P40" s="33"/>
      <c r="Q40" s="25">
        <v>0</v>
      </c>
      <c r="R40" s="25">
        <v>0</v>
      </c>
      <c r="S40" s="12">
        <f t="shared" si="0"/>
        <v>0</v>
      </c>
      <c r="T40" s="5">
        <v>0</v>
      </c>
      <c r="U40" s="12">
        <f t="shared" si="1"/>
        <v>0</v>
      </c>
      <c r="V40" s="25" t="s">
        <v>10</v>
      </c>
      <c r="W40" s="11">
        <f>IFERROR(VLOOKUP(V40,Curr!$B$2:$C$13,2,FALSE),0)</f>
        <v>10.8</v>
      </c>
      <c r="X40" s="12">
        <f t="shared" si="2"/>
        <v>0</v>
      </c>
      <c r="Y40" s="26">
        <f t="shared" ref="Y40:Y83" si="10">Q40</f>
        <v>0</v>
      </c>
      <c r="Z40" s="12">
        <f t="shared" si="4"/>
        <v>0</v>
      </c>
      <c r="AA40" s="4" t="s">
        <v>10</v>
      </c>
      <c r="AB40" s="11">
        <f>IFERROR(VLOOKUP(AA40,Curr!$B$2:$C$13,2,FALSE),0)</f>
        <v>10.8</v>
      </c>
      <c r="AC40" s="12">
        <f t="shared" si="5"/>
        <v>0</v>
      </c>
      <c r="AD40" s="12">
        <f t="shared" si="6"/>
        <v>0</v>
      </c>
      <c r="AE40" s="13">
        <f t="shared" si="7"/>
        <v>0</v>
      </c>
    </row>
    <row r="41" spans="2:31" x14ac:dyDescent="0.25">
      <c r="B41" s="4"/>
      <c r="E41" s="3"/>
      <c r="F41" s="3"/>
      <c r="G41" s="24"/>
      <c r="H41" s="24"/>
      <c r="K41" s="4"/>
      <c r="L41" s="4"/>
      <c r="M41" s="4"/>
      <c r="N41" s="4"/>
      <c r="O41" s="4"/>
      <c r="P41" s="27"/>
      <c r="Q41" s="25"/>
      <c r="R41" s="25"/>
      <c r="S41" s="12">
        <f t="shared" si="0"/>
        <v>0</v>
      </c>
      <c r="T41" s="5">
        <v>0</v>
      </c>
      <c r="U41" s="12">
        <f t="shared" si="1"/>
        <v>0</v>
      </c>
      <c r="V41" s="25" t="s">
        <v>10</v>
      </c>
      <c r="W41" s="11">
        <f>IFERROR(VLOOKUP(V41,Curr!$B$2:$C$13,2,FALSE),0)</f>
        <v>10.8</v>
      </c>
      <c r="X41" s="12">
        <f t="shared" si="2"/>
        <v>0</v>
      </c>
      <c r="Y41" s="26">
        <f t="shared" si="10"/>
        <v>0</v>
      </c>
      <c r="Z41" s="12">
        <f t="shared" si="4"/>
        <v>0</v>
      </c>
      <c r="AA41" s="4" t="s">
        <v>10</v>
      </c>
      <c r="AB41" s="11">
        <f>IFERROR(VLOOKUP(AA41,Curr!$B$2:$C$13,2,FALSE),0)</f>
        <v>10.8</v>
      </c>
      <c r="AC41" s="12">
        <f t="shared" si="5"/>
        <v>0</v>
      </c>
      <c r="AD41" s="12">
        <f t="shared" si="6"/>
        <v>0</v>
      </c>
      <c r="AE41" s="13">
        <f t="shared" si="7"/>
        <v>0</v>
      </c>
    </row>
    <row r="42" spans="2:31" x14ac:dyDescent="0.25">
      <c r="B42" s="4"/>
      <c r="C42" s="1" t="s">
        <v>103</v>
      </c>
      <c r="D42" s="1" t="s">
        <v>56</v>
      </c>
      <c r="E42" s="3" t="s">
        <v>61</v>
      </c>
      <c r="F42" s="3"/>
      <c r="G42" s="24"/>
      <c r="H42" s="24"/>
      <c r="J42" s="1" t="s">
        <v>157</v>
      </c>
      <c r="K42" s="4"/>
      <c r="L42" s="4"/>
      <c r="M42" s="4"/>
      <c r="N42" s="4"/>
      <c r="O42" s="4"/>
      <c r="P42" s="33" t="s">
        <v>158</v>
      </c>
      <c r="Q42" s="25">
        <v>40</v>
      </c>
      <c r="R42" s="25">
        <v>4</v>
      </c>
      <c r="S42" s="12">
        <f t="shared" si="0"/>
        <v>160</v>
      </c>
      <c r="T42" s="5">
        <v>0.2</v>
      </c>
      <c r="U42" s="12">
        <f t="shared" si="1"/>
        <v>128</v>
      </c>
      <c r="V42" s="25" t="s">
        <v>10</v>
      </c>
      <c r="W42" s="11">
        <f>IFERROR(VLOOKUP(V42,Curr!$B$2:$C$13,2,FALSE),0)</f>
        <v>10.8</v>
      </c>
      <c r="X42" s="12">
        <f t="shared" si="2"/>
        <v>1382.4</v>
      </c>
      <c r="Y42" s="26">
        <f t="shared" si="10"/>
        <v>40</v>
      </c>
      <c r="Z42" s="12">
        <f t="shared" si="4"/>
        <v>160</v>
      </c>
      <c r="AA42" s="4" t="s">
        <v>10</v>
      </c>
      <c r="AB42" s="11">
        <f>IFERROR(VLOOKUP(AA42,Curr!$B$2:$C$13,2,FALSE),0)</f>
        <v>10.8</v>
      </c>
      <c r="AC42" s="12">
        <f t="shared" si="5"/>
        <v>1728</v>
      </c>
      <c r="AD42" s="12">
        <f t="shared" si="6"/>
        <v>345.59999999999991</v>
      </c>
      <c r="AE42" s="13">
        <f t="shared" si="7"/>
        <v>0.19999999999999996</v>
      </c>
    </row>
    <row r="43" spans="2:31" x14ac:dyDescent="0.25">
      <c r="B43" s="4"/>
      <c r="C43" s="1" t="s">
        <v>103</v>
      </c>
      <c r="D43" s="1" t="s">
        <v>51</v>
      </c>
      <c r="E43" s="3" t="s">
        <v>61</v>
      </c>
      <c r="F43" s="3"/>
      <c r="G43" s="24"/>
      <c r="H43" s="24"/>
      <c r="J43" s="1" t="s">
        <v>102</v>
      </c>
      <c r="K43" s="4"/>
      <c r="L43" s="4"/>
      <c r="M43" s="4"/>
      <c r="N43" s="4"/>
      <c r="O43" s="4"/>
      <c r="P43" s="33"/>
      <c r="Q43" s="25">
        <v>0</v>
      </c>
      <c r="R43" s="25">
        <v>0</v>
      </c>
      <c r="S43" s="12">
        <f t="shared" si="0"/>
        <v>0</v>
      </c>
      <c r="T43" s="5">
        <v>0</v>
      </c>
      <c r="U43" s="12">
        <f t="shared" si="1"/>
        <v>0</v>
      </c>
      <c r="V43" s="25" t="s">
        <v>10</v>
      </c>
      <c r="W43" s="11">
        <f>IFERROR(VLOOKUP(V43,Curr!$B$2:$C$13,2,FALSE),0)</f>
        <v>10.8</v>
      </c>
      <c r="X43" s="12">
        <f t="shared" si="2"/>
        <v>0</v>
      </c>
      <c r="Y43" s="26">
        <f t="shared" si="10"/>
        <v>0</v>
      </c>
      <c r="Z43" s="12">
        <f t="shared" si="4"/>
        <v>0</v>
      </c>
      <c r="AA43" s="4" t="s">
        <v>10</v>
      </c>
      <c r="AB43" s="11">
        <f>IFERROR(VLOOKUP(AA43,Curr!$B$2:$C$13,2,FALSE),0)</f>
        <v>10.8</v>
      </c>
      <c r="AC43" s="12">
        <f t="shared" si="5"/>
        <v>0</v>
      </c>
      <c r="AD43" s="12">
        <f t="shared" si="6"/>
        <v>0</v>
      </c>
      <c r="AE43" s="13">
        <f t="shared" si="7"/>
        <v>0</v>
      </c>
    </row>
    <row r="44" spans="2:31" x14ac:dyDescent="0.25">
      <c r="B44" s="4"/>
      <c r="E44" s="3"/>
      <c r="F44" s="3"/>
      <c r="G44" s="24"/>
      <c r="H44" s="24"/>
      <c r="K44" s="4"/>
      <c r="L44" s="4"/>
      <c r="M44" s="4"/>
      <c r="N44" s="4"/>
      <c r="O44" s="4"/>
      <c r="P44" s="27"/>
      <c r="Q44" s="25"/>
      <c r="R44" s="25"/>
      <c r="S44" s="12">
        <f t="shared" si="0"/>
        <v>0</v>
      </c>
      <c r="T44" s="5">
        <v>0</v>
      </c>
      <c r="U44" s="12">
        <f t="shared" si="1"/>
        <v>0</v>
      </c>
      <c r="V44" s="25" t="s">
        <v>10</v>
      </c>
      <c r="W44" s="11">
        <f>IFERROR(VLOOKUP(V44,Curr!$B$2:$C$13,2,FALSE),0)</f>
        <v>10.8</v>
      </c>
      <c r="X44" s="12">
        <f t="shared" si="2"/>
        <v>0</v>
      </c>
      <c r="Y44" s="26">
        <f t="shared" si="10"/>
        <v>0</v>
      </c>
      <c r="Z44" s="12">
        <f t="shared" si="4"/>
        <v>0</v>
      </c>
      <c r="AA44" s="4" t="s">
        <v>10</v>
      </c>
      <c r="AB44" s="11">
        <f>IFERROR(VLOOKUP(AA44,Curr!$B$2:$C$13,2,FALSE),0)</f>
        <v>10.8</v>
      </c>
      <c r="AC44" s="12">
        <f t="shared" si="5"/>
        <v>0</v>
      </c>
      <c r="AD44" s="12">
        <f t="shared" si="6"/>
        <v>0</v>
      </c>
      <c r="AE44" s="13">
        <f t="shared" si="7"/>
        <v>0</v>
      </c>
    </row>
    <row r="45" spans="2:31" x14ac:dyDescent="0.25">
      <c r="B45" s="4"/>
      <c r="C45" s="1" t="s">
        <v>104</v>
      </c>
      <c r="D45" s="1" t="s">
        <v>49</v>
      </c>
      <c r="E45" s="3" t="s">
        <v>63</v>
      </c>
      <c r="F45" s="3"/>
      <c r="G45" s="24"/>
      <c r="H45" s="24"/>
      <c r="J45" s="1" t="s">
        <v>105</v>
      </c>
      <c r="K45" s="4"/>
      <c r="L45" s="4"/>
      <c r="M45" s="4"/>
      <c r="N45" s="4"/>
      <c r="O45" s="4"/>
      <c r="P45" s="33"/>
      <c r="Q45" s="25">
        <v>0</v>
      </c>
      <c r="R45" s="25">
        <v>0</v>
      </c>
      <c r="S45" s="12">
        <f t="shared" si="0"/>
        <v>0</v>
      </c>
      <c r="T45" s="5">
        <v>0</v>
      </c>
      <c r="U45" s="12">
        <f t="shared" si="1"/>
        <v>0</v>
      </c>
      <c r="V45" s="25" t="s">
        <v>10</v>
      </c>
      <c r="W45" s="11">
        <f>IFERROR(VLOOKUP(V45,Curr!$B$2:$C$13,2,FALSE),0)</f>
        <v>10.8</v>
      </c>
      <c r="X45" s="12">
        <f t="shared" si="2"/>
        <v>0</v>
      </c>
      <c r="Y45" s="26">
        <f t="shared" si="10"/>
        <v>0</v>
      </c>
      <c r="Z45" s="12">
        <f t="shared" si="4"/>
        <v>0</v>
      </c>
      <c r="AA45" s="4" t="s">
        <v>10</v>
      </c>
      <c r="AB45" s="11">
        <f>IFERROR(VLOOKUP(AA45,Curr!$B$2:$C$13,2,FALSE),0)</f>
        <v>10.8</v>
      </c>
      <c r="AC45" s="12">
        <f t="shared" si="5"/>
        <v>0</v>
      </c>
      <c r="AD45" s="12">
        <f t="shared" si="6"/>
        <v>0</v>
      </c>
      <c r="AE45" s="13">
        <f t="shared" si="7"/>
        <v>0</v>
      </c>
    </row>
    <row r="46" spans="2:31" x14ac:dyDescent="0.25">
      <c r="B46" s="4"/>
      <c r="C46" s="1" t="s">
        <v>104</v>
      </c>
      <c r="D46" s="1" t="s">
        <v>56</v>
      </c>
      <c r="E46" s="3" t="s">
        <v>63</v>
      </c>
      <c r="F46" s="3"/>
      <c r="G46" s="24"/>
      <c r="H46" s="24"/>
      <c r="J46" s="1" t="s">
        <v>225</v>
      </c>
      <c r="K46" s="4"/>
      <c r="L46" s="4"/>
      <c r="M46" s="4"/>
      <c r="N46" s="4"/>
      <c r="O46" s="4"/>
      <c r="P46" s="33" t="s">
        <v>160</v>
      </c>
      <c r="Q46" s="25">
        <f>3873+450</f>
        <v>4323</v>
      </c>
      <c r="R46" s="25">
        <v>4</v>
      </c>
      <c r="S46" s="12">
        <f t="shared" si="0"/>
        <v>17292</v>
      </c>
      <c r="T46" s="5">
        <v>0.12</v>
      </c>
      <c r="U46" s="12">
        <f t="shared" si="1"/>
        <v>15216.960000000001</v>
      </c>
      <c r="V46" s="25" t="s">
        <v>8</v>
      </c>
      <c r="W46" s="11">
        <f>IFERROR(VLOOKUP(V46,Curr!$B$2:$C$13,2,FALSE),0)</f>
        <v>1</v>
      </c>
      <c r="X46" s="12">
        <f t="shared" si="2"/>
        <v>15216.960000000001</v>
      </c>
      <c r="Y46" s="26">
        <f>Q46/11/0.9</f>
        <v>436.66666666666663</v>
      </c>
      <c r="Z46" s="12">
        <f t="shared" si="4"/>
        <v>1746.6666666666665</v>
      </c>
      <c r="AA46" s="4" t="s">
        <v>10</v>
      </c>
      <c r="AB46" s="11">
        <f>IFERROR(VLOOKUP(AA46,Curr!$B$2:$C$13,2,FALSE),0)</f>
        <v>10.8</v>
      </c>
      <c r="AC46" s="12">
        <f t="shared" si="5"/>
        <v>18864</v>
      </c>
      <c r="AD46" s="12">
        <f t="shared" si="6"/>
        <v>3647.0399999999991</v>
      </c>
      <c r="AE46" s="13">
        <f t="shared" si="7"/>
        <v>0.19333333333333327</v>
      </c>
    </row>
    <row r="47" spans="2:31" x14ac:dyDescent="0.25">
      <c r="B47" s="4"/>
      <c r="C47" s="1" t="s">
        <v>104</v>
      </c>
      <c r="D47" s="1" t="s">
        <v>49</v>
      </c>
      <c r="E47" s="3" t="s">
        <v>63</v>
      </c>
      <c r="F47" s="3"/>
      <c r="G47" s="24"/>
      <c r="H47" s="24"/>
      <c r="J47" s="1" t="s">
        <v>108</v>
      </c>
      <c r="K47" s="4"/>
      <c r="L47" s="4"/>
      <c r="M47" s="4"/>
      <c r="N47" s="4"/>
      <c r="O47" s="4"/>
      <c r="P47" s="33" t="s">
        <v>166</v>
      </c>
      <c r="Q47" s="25">
        <v>1490</v>
      </c>
      <c r="R47" s="25">
        <v>1</v>
      </c>
      <c r="S47" s="12">
        <f t="shared" si="0"/>
        <v>1490</v>
      </c>
      <c r="T47" s="5">
        <v>0.15</v>
      </c>
      <c r="U47" s="12">
        <f t="shared" si="1"/>
        <v>1266.5</v>
      </c>
      <c r="V47" s="25" t="s">
        <v>8</v>
      </c>
      <c r="W47" s="11">
        <f>IFERROR(VLOOKUP(V47,Curr!$B$2:$C$13,2,FALSE),0)</f>
        <v>1</v>
      </c>
      <c r="X47" s="12">
        <f t="shared" si="2"/>
        <v>1266.5</v>
      </c>
      <c r="Y47" s="26">
        <f>Q47/11/0.9</f>
        <v>150.50505050505052</v>
      </c>
      <c r="Z47" s="12">
        <f t="shared" si="4"/>
        <v>150.50505050505052</v>
      </c>
      <c r="AA47" s="4" t="s">
        <v>10</v>
      </c>
      <c r="AB47" s="11">
        <f>IFERROR(VLOOKUP(AA47,Curr!$B$2:$C$13,2,FALSE),0)</f>
        <v>10.8</v>
      </c>
      <c r="AC47" s="12">
        <f t="shared" si="5"/>
        <v>1625.4545454545457</v>
      </c>
      <c r="AD47" s="12">
        <f t="shared" si="6"/>
        <v>358.95454545454572</v>
      </c>
      <c r="AE47" s="13">
        <f t="shared" si="7"/>
        <v>0.22083333333333346</v>
      </c>
    </row>
    <row r="48" spans="2:31" x14ac:dyDescent="0.25">
      <c r="B48" s="4"/>
      <c r="C48" s="1" t="s">
        <v>104</v>
      </c>
      <c r="D48" s="1" t="s">
        <v>50</v>
      </c>
      <c r="E48" s="3" t="s">
        <v>63</v>
      </c>
      <c r="F48" s="3" t="s">
        <v>68</v>
      </c>
      <c r="G48" s="1"/>
      <c r="H48" s="1"/>
      <c r="J48" s="1" t="s">
        <v>198</v>
      </c>
      <c r="K48" s="4"/>
      <c r="L48" s="4"/>
      <c r="M48" s="4"/>
      <c r="N48" s="4"/>
      <c r="O48" s="4"/>
      <c r="P48" s="29" t="s">
        <v>199</v>
      </c>
      <c r="Q48" s="25">
        <v>2620</v>
      </c>
      <c r="R48" s="25">
        <v>1</v>
      </c>
      <c r="S48" s="12">
        <f t="shared" si="0"/>
        <v>2620</v>
      </c>
      <c r="T48" s="5">
        <v>0</v>
      </c>
      <c r="U48" s="12">
        <f t="shared" si="1"/>
        <v>2620</v>
      </c>
      <c r="V48" s="25" t="s">
        <v>10</v>
      </c>
      <c r="W48" s="11">
        <f>IFERROR(VLOOKUP(V48,Curr!$B$2:$C$13,2,FALSE),0)</f>
        <v>10.8</v>
      </c>
      <c r="X48" s="12">
        <f t="shared" si="2"/>
        <v>28296.000000000004</v>
      </c>
      <c r="Y48" s="26">
        <f>Q48/0.85</f>
        <v>3082.3529411764707</v>
      </c>
      <c r="Z48" s="12">
        <f t="shared" si="4"/>
        <v>3082.3529411764707</v>
      </c>
      <c r="AA48" s="4" t="s">
        <v>10</v>
      </c>
      <c r="AB48" s="11">
        <f>IFERROR(VLOOKUP(AA48,Curr!$B$2:$C$13,2,FALSE),0)</f>
        <v>10.8</v>
      </c>
      <c r="AC48" s="12">
        <f t="shared" si="5"/>
        <v>33289.411764705888</v>
      </c>
      <c r="AD48" s="12">
        <f t="shared" si="6"/>
        <v>4993.4117647058847</v>
      </c>
      <c r="AE48" s="13">
        <f t="shared" si="7"/>
        <v>0.15000000000000005</v>
      </c>
    </row>
    <row r="49" spans="2:31" x14ac:dyDescent="0.25">
      <c r="B49" s="4"/>
      <c r="C49" s="1" t="s">
        <v>104</v>
      </c>
      <c r="D49" s="1" t="s">
        <v>51</v>
      </c>
      <c r="E49" s="3" t="s">
        <v>63</v>
      </c>
      <c r="F49" s="1"/>
      <c r="G49" s="1"/>
      <c r="H49" s="1"/>
      <c r="J49" s="1" t="s">
        <v>109</v>
      </c>
      <c r="K49" s="4"/>
      <c r="L49" s="4"/>
      <c r="M49" s="4"/>
      <c r="N49" s="4"/>
      <c r="O49" s="4"/>
      <c r="P49" s="33"/>
      <c r="Q49" s="25">
        <v>0</v>
      </c>
      <c r="R49" s="25">
        <v>0</v>
      </c>
      <c r="S49" s="12">
        <f t="shared" si="0"/>
        <v>0</v>
      </c>
      <c r="T49" s="5">
        <v>0</v>
      </c>
      <c r="U49" s="12">
        <f t="shared" si="1"/>
        <v>0</v>
      </c>
      <c r="V49" s="25" t="s">
        <v>10</v>
      </c>
      <c r="W49" s="11">
        <f>IFERROR(VLOOKUP(V49,Curr!$B$2:$C$13,2,FALSE),0)</f>
        <v>10.8</v>
      </c>
      <c r="X49" s="12">
        <f t="shared" si="2"/>
        <v>0</v>
      </c>
      <c r="Y49" s="26">
        <f t="shared" ref="Y49" si="11">Q49</f>
        <v>0</v>
      </c>
      <c r="Z49" s="12">
        <f t="shared" si="4"/>
        <v>0</v>
      </c>
      <c r="AA49" s="4" t="s">
        <v>10</v>
      </c>
      <c r="AB49" s="11">
        <f>IFERROR(VLOOKUP(AA49,Curr!$B$2:$C$13,2,FALSE),0)</f>
        <v>10.8</v>
      </c>
      <c r="AC49" s="12">
        <f t="shared" si="5"/>
        <v>0</v>
      </c>
      <c r="AD49" s="12">
        <f t="shared" si="6"/>
        <v>0</v>
      </c>
      <c r="AE49" s="13">
        <f t="shared" si="7"/>
        <v>0</v>
      </c>
    </row>
    <row r="50" spans="2:31" x14ac:dyDescent="0.25">
      <c r="B50" s="4"/>
      <c r="E50" s="3"/>
      <c r="F50" s="1"/>
      <c r="G50" s="1"/>
      <c r="H50" s="1"/>
      <c r="K50" s="4"/>
      <c r="L50" s="4"/>
      <c r="M50" s="4"/>
      <c r="N50" s="4"/>
      <c r="O50" s="4"/>
      <c r="P50" s="33"/>
      <c r="Q50" s="25"/>
      <c r="R50" s="25"/>
      <c r="S50" s="12">
        <f t="shared" si="0"/>
        <v>0</v>
      </c>
      <c r="T50" s="5">
        <v>0</v>
      </c>
      <c r="U50" s="12">
        <f t="shared" si="1"/>
        <v>0</v>
      </c>
      <c r="V50" s="25" t="s">
        <v>10</v>
      </c>
      <c r="W50" s="11">
        <f>IFERROR(VLOOKUP(V50,Curr!$B$2:$C$13,2,FALSE),0)</f>
        <v>10.8</v>
      </c>
      <c r="X50" s="12">
        <f t="shared" si="2"/>
        <v>0</v>
      </c>
      <c r="Y50" s="26">
        <f t="shared" si="10"/>
        <v>0</v>
      </c>
      <c r="Z50" s="12">
        <f t="shared" si="4"/>
        <v>0</v>
      </c>
      <c r="AA50" s="4" t="s">
        <v>10</v>
      </c>
      <c r="AB50" s="11">
        <f>IFERROR(VLOOKUP(AA50,Curr!$B$2:$C$13,2,FALSE),0)</f>
        <v>10.8</v>
      </c>
      <c r="AC50" s="12">
        <f t="shared" si="5"/>
        <v>0</v>
      </c>
      <c r="AD50" s="12">
        <f t="shared" si="6"/>
        <v>0</v>
      </c>
      <c r="AE50" s="13">
        <f t="shared" si="7"/>
        <v>0</v>
      </c>
    </row>
    <row r="51" spans="2:31" x14ac:dyDescent="0.25">
      <c r="B51" s="4"/>
      <c r="C51" s="1" t="s">
        <v>107</v>
      </c>
      <c r="D51" s="1" t="s">
        <v>56</v>
      </c>
      <c r="E51" s="3" t="s">
        <v>64</v>
      </c>
      <c r="F51" s="3"/>
      <c r="G51" s="24"/>
      <c r="H51" s="24"/>
      <c r="J51" s="1" t="s">
        <v>164</v>
      </c>
      <c r="K51" s="4"/>
      <c r="L51" s="4"/>
      <c r="M51" s="4"/>
      <c r="N51" s="4"/>
      <c r="O51" s="4"/>
      <c r="P51" s="33" t="s">
        <v>167</v>
      </c>
      <c r="Q51" s="25">
        <v>200</v>
      </c>
      <c r="R51" s="25">
        <v>4</v>
      </c>
      <c r="S51" s="12">
        <f t="shared" si="0"/>
        <v>800</v>
      </c>
      <c r="T51" s="5">
        <v>0</v>
      </c>
      <c r="U51" s="12">
        <f t="shared" si="1"/>
        <v>800</v>
      </c>
      <c r="V51" s="25" t="s">
        <v>8</v>
      </c>
      <c r="W51" s="11">
        <f>IFERROR(VLOOKUP(V51,Curr!$B$2:$C$13,2,FALSE),0)</f>
        <v>1</v>
      </c>
      <c r="X51" s="12">
        <f t="shared" si="2"/>
        <v>800</v>
      </c>
      <c r="Y51" s="26">
        <f>Q51/11/0.6</f>
        <v>30.303030303030308</v>
      </c>
      <c r="Z51" s="12">
        <f t="shared" si="4"/>
        <v>121.21212121212123</v>
      </c>
      <c r="AA51" s="4" t="s">
        <v>10</v>
      </c>
      <c r="AB51" s="11">
        <f>IFERROR(VLOOKUP(AA51,Curr!$B$2:$C$13,2,FALSE),0)</f>
        <v>10.8</v>
      </c>
      <c r="AC51" s="12">
        <f t="shared" si="5"/>
        <v>1309.0909090909095</v>
      </c>
      <c r="AD51" s="12">
        <f t="shared" si="6"/>
        <v>509.09090909090946</v>
      </c>
      <c r="AE51" s="13">
        <f t="shared" si="7"/>
        <v>0.38888888888888906</v>
      </c>
    </row>
    <row r="52" spans="2:31" x14ac:dyDescent="0.25">
      <c r="B52" s="4"/>
      <c r="C52" s="1" t="s">
        <v>107</v>
      </c>
      <c r="D52" s="1" t="s">
        <v>51</v>
      </c>
      <c r="E52" s="3" t="s">
        <v>64</v>
      </c>
      <c r="F52" s="3"/>
      <c r="G52" s="24"/>
      <c r="H52" s="24"/>
      <c r="J52" s="1" t="s">
        <v>109</v>
      </c>
      <c r="K52" s="4"/>
      <c r="L52" s="4"/>
      <c r="M52" s="4"/>
      <c r="N52" s="4"/>
      <c r="O52" s="4"/>
      <c r="P52" s="33"/>
      <c r="Q52" s="25">
        <v>0</v>
      </c>
      <c r="R52" s="25">
        <v>0</v>
      </c>
      <c r="S52" s="12">
        <f t="shared" si="0"/>
        <v>0</v>
      </c>
      <c r="T52" s="5">
        <v>0</v>
      </c>
      <c r="U52" s="12">
        <f t="shared" si="1"/>
        <v>0</v>
      </c>
      <c r="V52" s="25" t="s">
        <v>10</v>
      </c>
      <c r="W52" s="11">
        <f>IFERROR(VLOOKUP(V52,Curr!$B$2:$C$13,2,FALSE),0)</f>
        <v>10.8</v>
      </c>
      <c r="X52" s="12">
        <f t="shared" si="2"/>
        <v>0</v>
      </c>
      <c r="Y52" s="26">
        <f t="shared" ref="Y52" si="12">Q52</f>
        <v>0</v>
      </c>
      <c r="Z52" s="12">
        <f t="shared" si="4"/>
        <v>0</v>
      </c>
      <c r="AA52" s="4" t="s">
        <v>10</v>
      </c>
      <c r="AB52" s="11">
        <f>IFERROR(VLOOKUP(AA52,Curr!$B$2:$C$13,2,FALSE),0)</f>
        <v>10.8</v>
      </c>
      <c r="AC52" s="12">
        <f t="shared" si="5"/>
        <v>0</v>
      </c>
      <c r="AD52" s="12">
        <f t="shared" si="6"/>
        <v>0</v>
      </c>
      <c r="AE52" s="13">
        <f t="shared" si="7"/>
        <v>0</v>
      </c>
    </row>
    <row r="53" spans="2:31" x14ac:dyDescent="0.25">
      <c r="B53" s="4"/>
      <c r="C53" s="1" t="s">
        <v>107</v>
      </c>
      <c r="D53" s="1" t="s">
        <v>56</v>
      </c>
      <c r="E53" s="3" t="s">
        <v>64</v>
      </c>
      <c r="F53" s="3"/>
      <c r="G53" s="24"/>
      <c r="H53" s="24"/>
      <c r="J53" s="1" t="s">
        <v>231</v>
      </c>
      <c r="K53" s="4"/>
      <c r="L53" s="4"/>
      <c r="M53" s="4"/>
      <c r="N53" s="4"/>
      <c r="O53" s="4"/>
      <c r="P53" s="33" t="s">
        <v>232</v>
      </c>
      <c r="Q53" s="25">
        <v>95</v>
      </c>
      <c r="R53" s="25">
        <v>4</v>
      </c>
      <c r="S53" s="12">
        <f t="shared" si="0"/>
        <v>380</v>
      </c>
      <c r="T53" s="5">
        <v>0.2</v>
      </c>
      <c r="U53" s="12">
        <f t="shared" si="1"/>
        <v>304</v>
      </c>
      <c r="V53" s="25" t="s">
        <v>10</v>
      </c>
      <c r="W53" s="11">
        <f>IFERROR(VLOOKUP(V53,Curr!$B$2:$C$13,2,FALSE),0)</f>
        <v>10.8</v>
      </c>
      <c r="X53" s="12">
        <f t="shared" si="2"/>
        <v>3283.2000000000003</v>
      </c>
      <c r="Y53" s="26">
        <f>Q53/0.9</f>
        <v>105.55555555555556</v>
      </c>
      <c r="Z53" s="12">
        <f t="shared" si="4"/>
        <v>422.22222222222223</v>
      </c>
      <c r="AA53" s="4" t="s">
        <v>10</v>
      </c>
      <c r="AB53" s="11">
        <f>IFERROR(VLOOKUP(AA53,Curr!$B$2:$C$13,2,FALSE),0)</f>
        <v>10.8</v>
      </c>
      <c r="AC53" s="12">
        <f t="shared" si="5"/>
        <v>4560</v>
      </c>
      <c r="AD53" s="12">
        <f t="shared" si="6"/>
        <v>1276.7999999999997</v>
      </c>
      <c r="AE53" s="13">
        <f t="shared" si="7"/>
        <v>0.27999999999999992</v>
      </c>
    </row>
    <row r="54" spans="2:31" x14ac:dyDescent="0.25">
      <c r="B54" s="4"/>
      <c r="E54" s="3"/>
      <c r="F54" s="3"/>
      <c r="G54" s="24"/>
      <c r="H54" s="24"/>
      <c r="K54" s="4"/>
      <c r="L54" s="4"/>
      <c r="M54" s="4"/>
      <c r="N54" s="4"/>
      <c r="O54" s="4"/>
      <c r="P54" s="33"/>
      <c r="Q54" s="25"/>
      <c r="R54" s="25"/>
      <c r="S54" s="12">
        <f t="shared" si="0"/>
        <v>0</v>
      </c>
      <c r="T54" s="5">
        <v>0</v>
      </c>
      <c r="U54" s="12">
        <f t="shared" si="1"/>
        <v>0</v>
      </c>
      <c r="V54" s="25" t="s">
        <v>10</v>
      </c>
      <c r="W54" s="11">
        <f>IFERROR(VLOOKUP(V54,Curr!$B$2:$C$13,2,FALSE),0)</f>
        <v>10.8</v>
      </c>
      <c r="X54" s="12">
        <f t="shared" si="2"/>
        <v>0</v>
      </c>
      <c r="Y54" s="26">
        <f t="shared" si="10"/>
        <v>0</v>
      </c>
      <c r="Z54" s="12">
        <f t="shared" si="4"/>
        <v>0</v>
      </c>
      <c r="AA54" s="4" t="s">
        <v>10</v>
      </c>
      <c r="AB54" s="11">
        <f>IFERROR(VLOOKUP(AA54,Curr!$B$2:$C$13,2,FALSE),0)</f>
        <v>10.8</v>
      </c>
      <c r="AC54" s="12">
        <f t="shared" si="5"/>
        <v>0</v>
      </c>
      <c r="AD54" s="12">
        <f t="shared" si="6"/>
        <v>0</v>
      </c>
      <c r="AE54" s="13">
        <f t="shared" si="7"/>
        <v>0</v>
      </c>
    </row>
    <row r="55" spans="2:31" x14ac:dyDescent="0.25">
      <c r="B55" s="4"/>
      <c r="C55" s="1" t="s">
        <v>112</v>
      </c>
      <c r="D55" s="1" t="s">
        <v>49</v>
      </c>
      <c r="E55" s="3" t="s">
        <v>68</v>
      </c>
      <c r="F55" s="3"/>
      <c r="G55" s="24"/>
      <c r="H55" s="24"/>
      <c r="J55" s="1" t="s">
        <v>134</v>
      </c>
      <c r="K55" s="4"/>
      <c r="L55" s="4"/>
      <c r="M55" s="4"/>
      <c r="N55" s="4"/>
      <c r="O55" s="4"/>
      <c r="P55" s="33" t="s">
        <v>166</v>
      </c>
      <c r="Q55" s="25">
        <v>2290</v>
      </c>
      <c r="R55" s="25">
        <v>1</v>
      </c>
      <c r="S55" s="12">
        <f t="shared" si="0"/>
        <v>2290</v>
      </c>
      <c r="T55" s="5">
        <v>0.15</v>
      </c>
      <c r="U55" s="12">
        <f t="shared" si="1"/>
        <v>1946.5</v>
      </c>
      <c r="V55" s="25" t="s">
        <v>8</v>
      </c>
      <c r="W55" s="11">
        <f>IFERROR(VLOOKUP(V55,Curr!$B$2:$C$13,2,FALSE),0)</f>
        <v>1</v>
      </c>
      <c r="X55" s="12">
        <f t="shared" si="2"/>
        <v>1946.5</v>
      </c>
      <c r="Y55" s="26">
        <f>Q55/11/0.9</f>
        <v>231.31313131313132</v>
      </c>
      <c r="Z55" s="12">
        <f t="shared" si="4"/>
        <v>231.31313131313132</v>
      </c>
      <c r="AA55" s="4" t="s">
        <v>10</v>
      </c>
      <c r="AB55" s="11">
        <f>IFERROR(VLOOKUP(AA55,Curr!$B$2:$C$13,2,FALSE),0)</f>
        <v>10.8</v>
      </c>
      <c r="AC55" s="12">
        <f t="shared" si="5"/>
        <v>2498.1818181818185</v>
      </c>
      <c r="AD55" s="12">
        <f t="shared" si="6"/>
        <v>551.68181818181847</v>
      </c>
      <c r="AE55" s="13">
        <f t="shared" si="7"/>
        <v>0.22083333333333344</v>
      </c>
    </row>
    <row r="56" spans="2:31" x14ac:dyDescent="0.25">
      <c r="B56" s="4"/>
      <c r="C56" s="1" t="s">
        <v>112</v>
      </c>
      <c r="D56" s="1" t="s">
        <v>76</v>
      </c>
      <c r="E56" s="3" t="s">
        <v>68</v>
      </c>
      <c r="F56" s="3"/>
      <c r="G56" s="24"/>
      <c r="H56" s="24"/>
      <c r="J56" s="1" t="s">
        <v>168</v>
      </c>
      <c r="K56" s="4"/>
      <c r="L56" s="4"/>
      <c r="M56" s="4"/>
      <c r="N56" s="4"/>
      <c r="O56" s="4"/>
      <c r="P56" s="33" t="s">
        <v>169</v>
      </c>
      <c r="Q56" s="25">
        <v>1639</v>
      </c>
      <c r="R56" s="25">
        <v>4</v>
      </c>
      <c r="S56" s="12">
        <f t="shared" si="0"/>
        <v>6556</v>
      </c>
      <c r="T56" s="5">
        <v>0</v>
      </c>
      <c r="U56" s="12">
        <f t="shared" si="1"/>
        <v>6556</v>
      </c>
      <c r="V56" s="25" t="s">
        <v>8</v>
      </c>
      <c r="W56" s="11">
        <f>IFERROR(VLOOKUP(V56,Curr!$B$2:$C$13,2,FALSE),0)</f>
        <v>1</v>
      </c>
      <c r="X56" s="12">
        <f t="shared" si="2"/>
        <v>6556</v>
      </c>
      <c r="Y56" s="26">
        <f>Q56/11/0.8</f>
        <v>186.25</v>
      </c>
      <c r="Z56" s="12">
        <f t="shared" si="4"/>
        <v>745</v>
      </c>
      <c r="AA56" s="4" t="s">
        <v>10</v>
      </c>
      <c r="AB56" s="11">
        <f>IFERROR(VLOOKUP(AA56,Curr!$B$2:$C$13,2,FALSE),0)</f>
        <v>10.8</v>
      </c>
      <c r="AC56" s="12">
        <f t="shared" si="5"/>
        <v>8046.0000000000009</v>
      </c>
      <c r="AD56" s="12">
        <f t="shared" si="6"/>
        <v>1490.0000000000009</v>
      </c>
      <c r="AE56" s="13">
        <f t="shared" si="7"/>
        <v>0.18518518518518529</v>
      </c>
    </row>
    <row r="57" spans="2:31" x14ac:dyDescent="0.25">
      <c r="B57" s="4"/>
      <c r="C57" s="1" t="s">
        <v>112</v>
      </c>
      <c r="D57" s="1" t="s">
        <v>74</v>
      </c>
      <c r="E57" s="3" t="s">
        <v>68</v>
      </c>
      <c r="F57" s="3" t="s">
        <v>120</v>
      </c>
      <c r="G57" s="24"/>
      <c r="H57" s="24"/>
      <c r="J57" s="1" t="s">
        <v>205</v>
      </c>
      <c r="K57" s="4"/>
      <c r="L57" s="4"/>
      <c r="M57" s="4"/>
      <c r="N57" s="4"/>
      <c r="O57" s="4"/>
      <c r="P57" s="33" t="s">
        <v>226</v>
      </c>
      <c r="Q57" s="25">
        <v>334</v>
      </c>
      <c r="R57" s="25">
        <v>1</v>
      </c>
      <c r="S57" s="12">
        <f t="shared" si="0"/>
        <v>334</v>
      </c>
      <c r="T57" s="5">
        <v>0</v>
      </c>
      <c r="U57" s="12">
        <f t="shared" si="1"/>
        <v>334</v>
      </c>
      <c r="V57" s="25" t="s">
        <v>10</v>
      </c>
      <c r="W57" s="11">
        <f>IFERROR(VLOOKUP(V57,Curr!$B$2:$C$13,2,FALSE),0)</f>
        <v>10.8</v>
      </c>
      <c r="X57" s="12">
        <f t="shared" si="2"/>
        <v>3607.2000000000003</v>
      </c>
      <c r="Y57" s="26">
        <f>Q57/0.8</f>
        <v>417.5</v>
      </c>
      <c r="Z57" s="12">
        <f t="shared" si="4"/>
        <v>417.5</v>
      </c>
      <c r="AA57" s="4" t="s">
        <v>10</v>
      </c>
      <c r="AB57" s="11">
        <f>IFERROR(VLOOKUP(AA57,Curr!$B$2:$C$13,2,FALSE),0)</f>
        <v>10.8</v>
      </c>
      <c r="AC57" s="12">
        <f t="shared" si="5"/>
        <v>4509</v>
      </c>
      <c r="AD57" s="12">
        <f t="shared" si="6"/>
        <v>901.79999999999973</v>
      </c>
      <c r="AE57" s="13">
        <f t="shared" si="7"/>
        <v>0.19999999999999993</v>
      </c>
    </row>
    <row r="58" spans="2:31" x14ac:dyDescent="0.25">
      <c r="B58" s="4"/>
      <c r="C58" s="1" t="s">
        <v>112</v>
      </c>
      <c r="D58" s="1" t="s">
        <v>75</v>
      </c>
      <c r="E58" s="3" t="s">
        <v>68</v>
      </c>
      <c r="F58" s="3"/>
      <c r="G58" s="24"/>
      <c r="H58" s="24"/>
      <c r="J58" s="1" t="s">
        <v>200</v>
      </c>
      <c r="K58" s="4"/>
      <c r="L58" s="4"/>
      <c r="M58" s="4"/>
      <c r="N58" s="4"/>
      <c r="O58" s="4"/>
      <c r="P58" s="33"/>
      <c r="Q58" s="25">
        <v>0</v>
      </c>
      <c r="R58" s="25">
        <v>0</v>
      </c>
      <c r="S58" s="12">
        <f t="shared" si="0"/>
        <v>0</v>
      </c>
      <c r="T58" s="5">
        <v>0</v>
      </c>
      <c r="U58" s="12">
        <f t="shared" si="1"/>
        <v>0</v>
      </c>
      <c r="V58" s="25" t="s">
        <v>10</v>
      </c>
      <c r="W58" s="11">
        <f>IFERROR(VLOOKUP(V58,Curr!$B$2:$C$13,2,FALSE),0)</f>
        <v>10.8</v>
      </c>
      <c r="X58" s="12">
        <f t="shared" si="2"/>
        <v>0</v>
      </c>
      <c r="Y58" s="26">
        <f t="shared" ref="Y58" si="13">Q58</f>
        <v>0</v>
      </c>
      <c r="Z58" s="12">
        <f t="shared" si="4"/>
        <v>0</v>
      </c>
      <c r="AA58" s="4" t="s">
        <v>10</v>
      </c>
      <c r="AB58" s="11">
        <f>IFERROR(VLOOKUP(AA58,Curr!$B$2:$C$13,2,FALSE),0)</f>
        <v>10.8</v>
      </c>
      <c r="AC58" s="12">
        <f t="shared" si="5"/>
        <v>0</v>
      </c>
      <c r="AD58" s="12">
        <f t="shared" si="6"/>
        <v>0</v>
      </c>
      <c r="AE58" s="13">
        <f t="shared" si="7"/>
        <v>0</v>
      </c>
    </row>
    <row r="59" spans="2:31" x14ac:dyDescent="0.25">
      <c r="B59" s="4"/>
      <c r="C59" s="1" t="s">
        <v>112</v>
      </c>
      <c r="D59" s="1" t="s">
        <v>50</v>
      </c>
      <c r="E59" s="3" t="s">
        <v>68</v>
      </c>
      <c r="F59" s="3" t="s">
        <v>120</v>
      </c>
      <c r="G59" s="24"/>
      <c r="H59" s="24"/>
      <c r="J59" s="1" t="s">
        <v>204</v>
      </c>
      <c r="K59" s="4"/>
      <c r="L59" s="4"/>
      <c r="M59" s="4"/>
      <c r="N59" s="4"/>
      <c r="O59" s="4"/>
      <c r="P59" s="33" t="s">
        <v>203</v>
      </c>
      <c r="Q59" s="25">
        <v>3072</v>
      </c>
      <c r="R59" s="25">
        <v>1</v>
      </c>
      <c r="S59" s="12">
        <f t="shared" si="0"/>
        <v>3072</v>
      </c>
      <c r="T59" s="5">
        <v>0</v>
      </c>
      <c r="U59" s="12">
        <f t="shared" si="1"/>
        <v>3072</v>
      </c>
      <c r="V59" s="25" t="s">
        <v>10</v>
      </c>
      <c r="W59" s="11">
        <f>IFERROR(VLOOKUP(V59,Curr!$B$2:$C$13,2,FALSE),0)</f>
        <v>10.8</v>
      </c>
      <c r="X59" s="12">
        <f t="shared" si="2"/>
        <v>33177.600000000006</v>
      </c>
      <c r="Y59" s="26">
        <f>Q59/0.8</f>
        <v>3840</v>
      </c>
      <c r="Z59" s="12">
        <f t="shared" si="4"/>
        <v>3840</v>
      </c>
      <c r="AA59" s="4" t="s">
        <v>10</v>
      </c>
      <c r="AB59" s="11">
        <f>IFERROR(VLOOKUP(AA59,Curr!$B$2:$C$13,2,FALSE),0)</f>
        <v>10.8</v>
      </c>
      <c r="AC59" s="12">
        <f t="shared" si="5"/>
        <v>41472</v>
      </c>
      <c r="AD59" s="12">
        <f t="shared" si="6"/>
        <v>8294.3999999999942</v>
      </c>
      <c r="AE59" s="13">
        <f t="shared" si="7"/>
        <v>0.19999999999999987</v>
      </c>
    </row>
    <row r="60" spans="2:31" x14ac:dyDescent="0.25">
      <c r="B60" s="4"/>
      <c r="C60" s="1" t="s">
        <v>112</v>
      </c>
      <c r="D60" s="1" t="s">
        <v>51</v>
      </c>
      <c r="E60" s="3" t="s">
        <v>68</v>
      </c>
      <c r="F60" s="3"/>
      <c r="G60" s="24"/>
      <c r="H60" s="24"/>
      <c r="J60" s="1" t="s">
        <v>114</v>
      </c>
      <c r="K60" s="4"/>
      <c r="L60" s="4"/>
      <c r="M60" s="4"/>
      <c r="N60" s="4"/>
      <c r="O60" s="4"/>
      <c r="P60" s="33"/>
      <c r="Q60" s="25">
        <v>0</v>
      </c>
      <c r="R60" s="25">
        <v>0</v>
      </c>
      <c r="S60" s="12">
        <f t="shared" si="0"/>
        <v>0</v>
      </c>
      <c r="T60" s="5">
        <v>0</v>
      </c>
      <c r="U60" s="12">
        <f t="shared" si="1"/>
        <v>0</v>
      </c>
      <c r="V60" s="25" t="s">
        <v>10</v>
      </c>
      <c r="W60" s="11">
        <f>IFERROR(VLOOKUP(V60,Curr!$B$2:$C$13,2,FALSE),0)</f>
        <v>10.8</v>
      </c>
      <c r="X60" s="12">
        <f t="shared" si="2"/>
        <v>0</v>
      </c>
      <c r="Y60" s="26">
        <f t="shared" ref="Y60" si="14">Q60</f>
        <v>0</v>
      </c>
      <c r="Z60" s="12">
        <f t="shared" si="4"/>
        <v>0</v>
      </c>
      <c r="AA60" s="4" t="s">
        <v>10</v>
      </c>
      <c r="AB60" s="11">
        <f>IFERROR(VLOOKUP(AA60,Curr!$B$2:$C$13,2,FALSE),0)</f>
        <v>10.8</v>
      </c>
      <c r="AC60" s="12">
        <f t="shared" si="5"/>
        <v>0</v>
      </c>
      <c r="AD60" s="12">
        <f t="shared" si="6"/>
        <v>0</v>
      </c>
      <c r="AE60" s="13">
        <f t="shared" si="7"/>
        <v>0</v>
      </c>
    </row>
    <row r="61" spans="2:31" x14ac:dyDescent="0.25">
      <c r="B61" s="4"/>
      <c r="E61" s="3"/>
      <c r="F61" s="3"/>
      <c r="G61" s="24"/>
      <c r="H61" s="24"/>
      <c r="K61" s="4"/>
      <c r="L61" s="4"/>
      <c r="M61" s="4"/>
      <c r="N61" s="4"/>
      <c r="O61" s="4"/>
      <c r="P61" s="33"/>
      <c r="Q61" s="25"/>
      <c r="R61" s="25"/>
      <c r="S61" s="12">
        <f t="shared" si="0"/>
        <v>0</v>
      </c>
      <c r="T61" s="5">
        <v>0</v>
      </c>
      <c r="U61" s="12">
        <f t="shared" si="1"/>
        <v>0</v>
      </c>
      <c r="V61" s="25" t="s">
        <v>10</v>
      </c>
      <c r="W61" s="11">
        <f>IFERROR(VLOOKUP(V61,Curr!$B$2:$C$13,2,FALSE),0)</f>
        <v>10.8</v>
      </c>
      <c r="X61" s="12">
        <f t="shared" si="2"/>
        <v>0</v>
      </c>
      <c r="Y61" s="26">
        <f t="shared" si="10"/>
        <v>0</v>
      </c>
      <c r="Z61" s="12">
        <f t="shared" si="4"/>
        <v>0</v>
      </c>
      <c r="AA61" s="4" t="s">
        <v>10</v>
      </c>
      <c r="AB61" s="11">
        <f>IFERROR(VLOOKUP(AA61,Curr!$B$2:$C$13,2,FALSE),0)</f>
        <v>10.8</v>
      </c>
      <c r="AC61" s="12">
        <f t="shared" si="5"/>
        <v>0</v>
      </c>
      <c r="AD61" s="12">
        <f t="shared" si="6"/>
        <v>0</v>
      </c>
      <c r="AE61" s="13">
        <f t="shared" si="7"/>
        <v>0</v>
      </c>
    </row>
    <row r="62" spans="2:31" x14ac:dyDescent="0.25">
      <c r="B62" s="4"/>
      <c r="C62" s="1" t="s">
        <v>113</v>
      </c>
      <c r="D62" s="1" t="s">
        <v>75</v>
      </c>
      <c r="E62" s="3" t="s">
        <v>54</v>
      </c>
      <c r="F62" s="3"/>
      <c r="G62" s="24"/>
      <c r="H62" s="24"/>
      <c r="J62" s="1" t="s">
        <v>209</v>
      </c>
      <c r="K62" s="4"/>
      <c r="L62" s="4"/>
      <c r="M62" s="4"/>
      <c r="N62" s="4"/>
      <c r="O62" s="4"/>
      <c r="P62" s="33" t="s">
        <v>211</v>
      </c>
      <c r="Q62" s="25">
        <v>1680</v>
      </c>
      <c r="R62" s="25">
        <v>1</v>
      </c>
      <c r="S62" s="12">
        <f t="shared" si="0"/>
        <v>1680</v>
      </c>
      <c r="T62" s="5">
        <v>0.12</v>
      </c>
      <c r="U62" s="12">
        <f t="shared" si="1"/>
        <v>1478.4</v>
      </c>
      <c r="V62" s="25" t="s">
        <v>8</v>
      </c>
      <c r="W62" s="11">
        <f>IFERROR(VLOOKUP(V62,Curr!$B$2:$C$13,2,FALSE),0)</f>
        <v>1</v>
      </c>
      <c r="X62" s="12">
        <f t="shared" si="2"/>
        <v>1478.4</v>
      </c>
      <c r="Y62" s="26">
        <f>Q62/11/0.8</f>
        <v>190.90909090909088</v>
      </c>
      <c r="Z62" s="12">
        <f t="shared" si="4"/>
        <v>190.90909090909088</v>
      </c>
      <c r="AA62" s="4" t="s">
        <v>10</v>
      </c>
      <c r="AB62" s="11">
        <f>IFERROR(VLOOKUP(AA62,Curr!$B$2:$C$13,2,FALSE),0)</f>
        <v>10.8</v>
      </c>
      <c r="AC62" s="12">
        <f t="shared" si="5"/>
        <v>2061.8181818181815</v>
      </c>
      <c r="AD62" s="12">
        <f t="shared" si="6"/>
        <v>583.41818181818144</v>
      </c>
      <c r="AE62" s="13">
        <f t="shared" si="7"/>
        <v>0.28296296296296281</v>
      </c>
    </row>
    <row r="63" spans="2:31" x14ac:dyDescent="0.25">
      <c r="B63" s="4"/>
      <c r="C63" s="1" t="s">
        <v>113</v>
      </c>
      <c r="D63" s="1" t="s">
        <v>51</v>
      </c>
      <c r="E63" s="3" t="s">
        <v>54</v>
      </c>
      <c r="F63" s="3"/>
      <c r="G63" s="24"/>
      <c r="H63" s="24"/>
      <c r="J63" s="1" t="s">
        <v>114</v>
      </c>
      <c r="K63" s="4"/>
      <c r="L63" s="4"/>
      <c r="M63" s="4"/>
      <c r="N63" s="4"/>
      <c r="O63" s="4"/>
      <c r="P63" s="33"/>
      <c r="Q63" s="25">
        <v>0</v>
      </c>
      <c r="R63" s="25">
        <v>0</v>
      </c>
      <c r="S63" s="12">
        <f t="shared" si="0"/>
        <v>0</v>
      </c>
      <c r="T63" s="5">
        <v>0</v>
      </c>
      <c r="U63" s="12">
        <f t="shared" si="1"/>
        <v>0</v>
      </c>
      <c r="V63" s="25" t="s">
        <v>10</v>
      </c>
      <c r="W63" s="11">
        <f>IFERROR(VLOOKUP(V63,Curr!$B$2:$C$13,2,FALSE),0)</f>
        <v>10.8</v>
      </c>
      <c r="X63" s="12">
        <f t="shared" si="2"/>
        <v>0</v>
      </c>
      <c r="Y63" s="26">
        <f t="shared" si="10"/>
        <v>0</v>
      </c>
      <c r="Z63" s="12">
        <f t="shared" si="4"/>
        <v>0</v>
      </c>
      <c r="AA63" s="4" t="s">
        <v>10</v>
      </c>
      <c r="AB63" s="11">
        <f>IFERROR(VLOOKUP(AA63,Curr!$B$2:$C$13,2,FALSE),0)</f>
        <v>10.8</v>
      </c>
      <c r="AC63" s="12">
        <f t="shared" si="5"/>
        <v>0</v>
      </c>
      <c r="AD63" s="12">
        <f t="shared" si="6"/>
        <v>0</v>
      </c>
      <c r="AE63" s="13">
        <f t="shared" si="7"/>
        <v>0</v>
      </c>
    </row>
    <row r="64" spans="2:31" x14ac:dyDescent="0.25">
      <c r="B64" s="4"/>
      <c r="E64" s="3"/>
      <c r="F64" s="3"/>
      <c r="G64" s="24"/>
      <c r="H64" s="24"/>
      <c r="K64" s="4"/>
      <c r="L64" s="4"/>
      <c r="M64" s="4"/>
      <c r="N64" s="4"/>
      <c r="O64" s="4"/>
      <c r="P64" s="27"/>
      <c r="Q64" s="25"/>
      <c r="R64" s="25"/>
      <c r="S64" s="12">
        <f t="shared" si="0"/>
        <v>0</v>
      </c>
      <c r="T64" s="5">
        <v>0</v>
      </c>
      <c r="U64" s="12">
        <f t="shared" si="1"/>
        <v>0</v>
      </c>
      <c r="V64" s="25" t="s">
        <v>10</v>
      </c>
      <c r="W64" s="11">
        <f>IFERROR(VLOOKUP(V64,Curr!$B$2:$C$13,2,FALSE),0)</f>
        <v>10.8</v>
      </c>
      <c r="X64" s="12">
        <f t="shared" si="2"/>
        <v>0</v>
      </c>
      <c r="Y64" s="26">
        <f t="shared" si="10"/>
        <v>0</v>
      </c>
      <c r="Z64" s="12">
        <f t="shared" si="4"/>
        <v>0</v>
      </c>
      <c r="AA64" s="4" t="s">
        <v>10</v>
      </c>
      <c r="AB64" s="11">
        <f>IFERROR(VLOOKUP(AA64,Curr!$B$2:$C$13,2,FALSE),0)</f>
        <v>10.8</v>
      </c>
      <c r="AC64" s="12">
        <f t="shared" si="5"/>
        <v>0</v>
      </c>
      <c r="AD64" s="12">
        <f t="shared" si="6"/>
        <v>0</v>
      </c>
      <c r="AE64" s="13">
        <f t="shared" si="7"/>
        <v>0</v>
      </c>
    </row>
    <row r="65" spans="2:31" x14ac:dyDescent="0.25">
      <c r="B65" s="4"/>
      <c r="C65" s="1" t="s">
        <v>117</v>
      </c>
      <c r="D65" s="1" t="s">
        <v>75</v>
      </c>
      <c r="E65" s="3" t="s">
        <v>118</v>
      </c>
      <c r="F65" s="3"/>
      <c r="G65" s="24"/>
      <c r="H65" s="24"/>
      <c r="J65" s="1" t="s">
        <v>210</v>
      </c>
      <c r="K65" s="4"/>
      <c r="L65" s="4"/>
      <c r="M65" s="4"/>
      <c r="N65" s="4"/>
      <c r="O65" s="4"/>
      <c r="P65" s="33"/>
      <c r="Q65" s="25">
        <v>0</v>
      </c>
      <c r="R65" s="25">
        <v>0</v>
      </c>
      <c r="S65" s="12">
        <f t="shared" si="0"/>
        <v>0</v>
      </c>
      <c r="T65" s="5">
        <v>0</v>
      </c>
      <c r="U65" s="12">
        <f t="shared" si="1"/>
        <v>0</v>
      </c>
      <c r="V65" s="25" t="s">
        <v>10</v>
      </c>
      <c r="W65" s="11">
        <f>IFERROR(VLOOKUP(V65,Curr!$B$2:$C$13,2,FALSE),0)</f>
        <v>10.8</v>
      </c>
      <c r="X65" s="12">
        <f t="shared" si="2"/>
        <v>0</v>
      </c>
      <c r="Y65" s="26">
        <f t="shared" si="10"/>
        <v>0</v>
      </c>
      <c r="Z65" s="12">
        <f t="shared" si="4"/>
        <v>0</v>
      </c>
      <c r="AA65" s="4" t="s">
        <v>10</v>
      </c>
      <c r="AB65" s="11">
        <f>IFERROR(VLOOKUP(AA65,Curr!$B$2:$C$13,2,FALSE),0)</f>
        <v>10.8</v>
      </c>
      <c r="AC65" s="12">
        <f t="shared" si="5"/>
        <v>0</v>
      </c>
      <c r="AD65" s="12">
        <f t="shared" si="6"/>
        <v>0</v>
      </c>
      <c r="AE65" s="13">
        <f t="shared" si="7"/>
        <v>0</v>
      </c>
    </row>
    <row r="66" spans="2:31" x14ac:dyDescent="0.25">
      <c r="B66" s="4"/>
      <c r="C66" s="1" t="s">
        <v>117</v>
      </c>
      <c r="D66" s="1" t="s">
        <v>51</v>
      </c>
      <c r="E66" s="3" t="s">
        <v>118</v>
      </c>
      <c r="F66" s="3"/>
      <c r="G66" s="24"/>
      <c r="H66" s="24"/>
      <c r="J66" s="1" t="s">
        <v>114</v>
      </c>
      <c r="K66" s="4"/>
      <c r="L66" s="4"/>
      <c r="M66" s="4"/>
      <c r="N66" s="4"/>
      <c r="O66" s="4"/>
      <c r="P66" s="33"/>
      <c r="Q66" s="25">
        <v>0</v>
      </c>
      <c r="R66" s="25">
        <v>0</v>
      </c>
      <c r="S66" s="12">
        <f t="shared" si="0"/>
        <v>0</v>
      </c>
      <c r="T66" s="5">
        <v>0</v>
      </c>
      <c r="U66" s="12">
        <f t="shared" si="1"/>
        <v>0</v>
      </c>
      <c r="V66" s="25" t="s">
        <v>10</v>
      </c>
      <c r="W66" s="11">
        <f>IFERROR(VLOOKUP(V66,Curr!$B$2:$C$13,2,FALSE),0)</f>
        <v>10.8</v>
      </c>
      <c r="X66" s="12">
        <f t="shared" si="2"/>
        <v>0</v>
      </c>
      <c r="Y66" s="26">
        <f t="shared" si="10"/>
        <v>0</v>
      </c>
      <c r="Z66" s="12">
        <f t="shared" si="4"/>
        <v>0</v>
      </c>
      <c r="AA66" s="4" t="s">
        <v>10</v>
      </c>
      <c r="AB66" s="11">
        <f>IFERROR(VLOOKUP(AA66,Curr!$B$2:$C$13,2,FALSE),0)</f>
        <v>10.8</v>
      </c>
      <c r="AC66" s="12">
        <f t="shared" si="5"/>
        <v>0</v>
      </c>
      <c r="AD66" s="12">
        <f t="shared" si="6"/>
        <v>0</v>
      </c>
      <c r="AE66" s="13">
        <f t="shared" si="7"/>
        <v>0</v>
      </c>
    </row>
    <row r="67" spans="2:31" x14ac:dyDescent="0.25">
      <c r="B67" s="4"/>
      <c r="E67" s="3"/>
      <c r="F67" s="3"/>
      <c r="G67" s="24"/>
      <c r="H67" s="24"/>
      <c r="K67" s="4"/>
      <c r="L67" s="4"/>
      <c r="M67" s="4"/>
      <c r="N67" s="4"/>
      <c r="O67" s="4"/>
      <c r="P67" s="27"/>
      <c r="Q67" s="25"/>
      <c r="R67" s="25"/>
      <c r="S67" s="12">
        <f t="shared" si="0"/>
        <v>0</v>
      </c>
      <c r="T67" s="5">
        <v>0</v>
      </c>
      <c r="U67" s="12">
        <f t="shared" si="1"/>
        <v>0</v>
      </c>
      <c r="V67" s="25" t="s">
        <v>10</v>
      </c>
      <c r="W67" s="11">
        <f>IFERROR(VLOOKUP(V67,Curr!$B$2:$C$13,2,FALSE),0)</f>
        <v>10.8</v>
      </c>
      <c r="X67" s="12">
        <f t="shared" si="2"/>
        <v>0</v>
      </c>
      <c r="Y67" s="26">
        <f t="shared" si="10"/>
        <v>0</v>
      </c>
      <c r="Z67" s="12">
        <f t="shared" si="4"/>
        <v>0</v>
      </c>
      <c r="AA67" s="4" t="s">
        <v>10</v>
      </c>
      <c r="AB67" s="11">
        <f>IFERROR(VLOOKUP(AA67,Curr!$B$2:$C$13,2,FALSE),0)</f>
        <v>10.8</v>
      </c>
      <c r="AC67" s="12">
        <f t="shared" si="5"/>
        <v>0</v>
      </c>
      <c r="AD67" s="12">
        <f t="shared" si="6"/>
        <v>0</v>
      </c>
      <c r="AE67" s="13">
        <f t="shared" si="7"/>
        <v>0</v>
      </c>
    </row>
    <row r="68" spans="2:31" x14ac:dyDescent="0.25">
      <c r="B68" s="4"/>
      <c r="C68" s="1" t="s">
        <v>119</v>
      </c>
      <c r="D68" s="1" t="s">
        <v>75</v>
      </c>
      <c r="E68" s="3" t="s">
        <v>120</v>
      </c>
      <c r="F68" s="3"/>
      <c r="G68" s="24"/>
      <c r="H68" s="24"/>
      <c r="J68" s="1" t="s">
        <v>201</v>
      </c>
      <c r="K68" s="4"/>
      <c r="L68" s="4"/>
      <c r="M68" s="4"/>
      <c r="N68" s="4"/>
      <c r="O68" s="4"/>
      <c r="P68" s="33"/>
      <c r="Q68" s="25">
        <v>0</v>
      </c>
      <c r="R68" s="25">
        <v>0</v>
      </c>
      <c r="S68" s="12">
        <f t="shared" si="0"/>
        <v>0</v>
      </c>
      <c r="T68" s="5">
        <v>0</v>
      </c>
      <c r="U68" s="12">
        <f t="shared" si="1"/>
        <v>0</v>
      </c>
      <c r="V68" s="25" t="s">
        <v>10</v>
      </c>
      <c r="W68" s="11">
        <f>IFERROR(VLOOKUP(V68,Curr!$B$2:$C$13,2,FALSE),0)</f>
        <v>10.8</v>
      </c>
      <c r="X68" s="12">
        <f t="shared" si="2"/>
        <v>0</v>
      </c>
      <c r="Y68" s="26">
        <f t="shared" si="10"/>
        <v>0</v>
      </c>
      <c r="Z68" s="12">
        <f t="shared" si="4"/>
        <v>0</v>
      </c>
      <c r="AA68" s="4" t="s">
        <v>10</v>
      </c>
      <c r="AB68" s="11">
        <f>IFERROR(VLOOKUP(AA68,Curr!$B$2:$C$13,2,FALSE),0)</f>
        <v>10.8</v>
      </c>
      <c r="AC68" s="12">
        <f t="shared" si="5"/>
        <v>0</v>
      </c>
      <c r="AD68" s="12">
        <f t="shared" si="6"/>
        <v>0</v>
      </c>
      <c r="AE68" s="13">
        <f t="shared" si="7"/>
        <v>0</v>
      </c>
    </row>
    <row r="69" spans="2:31" x14ac:dyDescent="0.25">
      <c r="B69" s="4"/>
      <c r="C69" s="1" t="s">
        <v>119</v>
      </c>
      <c r="D69" s="1" t="s">
        <v>74</v>
      </c>
      <c r="E69" s="3" t="s">
        <v>120</v>
      </c>
      <c r="F69" s="3"/>
      <c r="G69" s="24"/>
      <c r="H69" s="24"/>
      <c r="J69" s="1" t="s">
        <v>202</v>
      </c>
      <c r="K69" s="4"/>
      <c r="L69" s="4"/>
      <c r="M69" s="4"/>
      <c r="N69" s="4"/>
      <c r="O69" s="4"/>
      <c r="P69" s="33"/>
      <c r="Q69" s="25">
        <v>0</v>
      </c>
      <c r="R69" s="25">
        <v>0</v>
      </c>
      <c r="S69" s="12">
        <f t="shared" si="0"/>
        <v>0</v>
      </c>
      <c r="T69" s="5">
        <v>0</v>
      </c>
      <c r="U69" s="12">
        <f t="shared" si="1"/>
        <v>0</v>
      </c>
      <c r="V69" s="25" t="s">
        <v>10</v>
      </c>
      <c r="W69" s="11">
        <f>IFERROR(VLOOKUP(V69,Curr!$B$2:$C$13,2,FALSE),0)</f>
        <v>10.8</v>
      </c>
      <c r="X69" s="12">
        <f t="shared" si="2"/>
        <v>0</v>
      </c>
      <c r="Y69" s="26">
        <f t="shared" si="10"/>
        <v>0</v>
      </c>
      <c r="Z69" s="12">
        <f t="shared" si="4"/>
        <v>0</v>
      </c>
      <c r="AA69" s="4" t="s">
        <v>10</v>
      </c>
      <c r="AB69" s="11">
        <f>IFERROR(VLOOKUP(AA69,Curr!$B$2:$C$13,2,FALSE),0)</f>
        <v>10.8</v>
      </c>
      <c r="AC69" s="12">
        <f t="shared" si="5"/>
        <v>0</v>
      </c>
      <c r="AD69" s="12">
        <f t="shared" si="6"/>
        <v>0</v>
      </c>
      <c r="AE69" s="13">
        <f t="shared" si="7"/>
        <v>0</v>
      </c>
    </row>
    <row r="70" spans="2:31" x14ac:dyDescent="0.25">
      <c r="B70" s="4"/>
      <c r="C70" s="1" t="s">
        <v>119</v>
      </c>
      <c r="D70" s="1" t="s">
        <v>67</v>
      </c>
      <c r="E70" s="3" t="s">
        <v>120</v>
      </c>
      <c r="F70" s="3"/>
      <c r="G70" s="24"/>
      <c r="H70" s="24"/>
      <c r="J70" s="1" t="s">
        <v>228</v>
      </c>
      <c r="K70" s="4"/>
      <c r="L70" s="4"/>
      <c r="M70" s="4"/>
      <c r="N70" s="4"/>
      <c r="O70" s="4"/>
      <c r="P70" s="29"/>
      <c r="Q70" s="25">
        <v>0</v>
      </c>
      <c r="R70" s="25">
        <v>0</v>
      </c>
      <c r="S70" s="12">
        <f t="shared" si="0"/>
        <v>0</v>
      </c>
      <c r="T70" s="5">
        <v>0</v>
      </c>
      <c r="U70" s="12">
        <f t="shared" si="1"/>
        <v>0</v>
      </c>
      <c r="V70" s="25" t="s">
        <v>10</v>
      </c>
      <c r="W70" s="11">
        <f>IFERROR(VLOOKUP(V70,Curr!$B$2:$C$13,2,FALSE),0)</f>
        <v>10.8</v>
      </c>
      <c r="X70" s="12">
        <f t="shared" si="2"/>
        <v>0</v>
      </c>
      <c r="Y70" s="26">
        <f t="shared" si="10"/>
        <v>0</v>
      </c>
      <c r="Z70" s="12">
        <f t="shared" si="4"/>
        <v>0</v>
      </c>
      <c r="AA70" s="4" t="s">
        <v>10</v>
      </c>
      <c r="AB70" s="11">
        <f>IFERROR(VLOOKUP(AA70,Curr!$B$2:$C$13,2,FALSE),0)</f>
        <v>10.8</v>
      </c>
      <c r="AC70" s="12">
        <f t="shared" si="5"/>
        <v>0</v>
      </c>
      <c r="AD70" s="12">
        <f t="shared" si="6"/>
        <v>0</v>
      </c>
      <c r="AE70" s="13">
        <f t="shared" si="7"/>
        <v>0</v>
      </c>
    </row>
    <row r="71" spans="2:31" x14ac:dyDescent="0.25">
      <c r="B71" s="4"/>
      <c r="E71" s="3"/>
      <c r="F71" s="3"/>
      <c r="G71" s="24"/>
      <c r="H71" s="24"/>
      <c r="K71" s="4"/>
      <c r="L71" s="4"/>
      <c r="M71" s="4"/>
      <c r="N71" s="4"/>
      <c r="O71" s="4"/>
      <c r="P71" s="33"/>
      <c r="Q71" s="25"/>
      <c r="R71" s="25"/>
      <c r="S71" s="12">
        <f t="shared" ref="S71:S83" si="15">+Q71*R71</f>
        <v>0</v>
      </c>
      <c r="T71" s="5">
        <v>0</v>
      </c>
      <c r="U71" s="12">
        <f t="shared" ref="U71:U83" si="16">S71*(1-T71)</f>
        <v>0</v>
      </c>
      <c r="V71" s="25" t="s">
        <v>10</v>
      </c>
      <c r="W71" s="11">
        <f>IFERROR(VLOOKUP(V71,Curr!$B$2:$C$13,2,FALSE),0)</f>
        <v>10.8</v>
      </c>
      <c r="X71" s="12">
        <f t="shared" ref="X71:X83" si="17">U71*W71</f>
        <v>0</v>
      </c>
      <c r="Y71" s="26">
        <f t="shared" si="10"/>
        <v>0</v>
      </c>
      <c r="Z71" s="12">
        <f t="shared" ref="Z71:Z83" si="18">+Y71*R71</f>
        <v>0</v>
      </c>
      <c r="AA71" s="4" t="s">
        <v>10</v>
      </c>
      <c r="AB71" s="11">
        <f>IFERROR(VLOOKUP(AA71,Curr!$B$2:$C$13,2,FALSE),0)</f>
        <v>10.8</v>
      </c>
      <c r="AC71" s="12">
        <f t="shared" ref="AC71:AC83" si="19">+Y71*AB71*R71</f>
        <v>0</v>
      </c>
      <c r="AD71" s="12">
        <f t="shared" ref="AD71:AD83" si="20">+AC71-X71</f>
        <v>0</v>
      </c>
      <c r="AE71" s="13">
        <f t="shared" ref="AE71:AE83" si="21">IFERROR(AD71/AC71,0)</f>
        <v>0</v>
      </c>
    </row>
    <row r="72" spans="2:31" x14ac:dyDescent="0.25">
      <c r="B72" s="4"/>
      <c r="E72" s="3"/>
      <c r="F72" s="3"/>
      <c r="G72" s="24"/>
      <c r="H72" s="24"/>
      <c r="K72" s="4"/>
      <c r="L72" s="4"/>
      <c r="M72" s="4"/>
      <c r="N72" s="4"/>
      <c r="O72" s="4"/>
      <c r="P72" s="33"/>
      <c r="Q72" s="25"/>
      <c r="R72" s="25"/>
      <c r="S72" s="12">
        <f t="shared" si="15"/>
        <v>0</v>
      </c>
      <c r="T72" s="5">
        <v>0</v>
      </c>
      <c r="U72" s="12">
        <f t="shared" si="16"/>
        <v>0</v>
      </c>
      <c r="V72" s="25" t="s">
        <v>10</v>
      </c>
      <c r="W72" s="11">
        <f>IFERROR(VLOOKUP(V72,Curr!$B$2:$C$13,2,FALSE),0)</f>
        <v>10.8</v>
      </c>
      <c r="X72" s="12">
        <f t="shared" si="17"/>
        <v>0</v>
      </c>
      <c r="Y72" s="26">
        <f t="shared" si="10"/>
        <v>0</v>
      </c>
      <c r="Z72" s="12">
        <f t="shared" si="18"/>
        <v>0</v>
      </c>
      <c r="AA72" s="4" t="s">
        <v>10</v>
      </c>
      <c r="AB72" s="11">
        <f>IFERROR(VLOOKUP(AA72,Curr!$B$2:$C$13,2,FALSE),0)</f>
        <v>10.8</v>
      </c>
      <c r="AC72" s="12">
        <f t="shared" si="19"/>
        <v>0</v>
      </c>
      <c r="AD72" s="12">
        <f t="shared" si="20"/>
        <v>0</v>
      </c>
      <c r="AE72" s="13">
        <f t="shared" si="21"/>
        <v>0</v>
      </c>
    </row>
    <row r="73" spans="2:31" x14ac:dyDescent="0.25">
      <c r="B73" s="4"/>
      <c r="E73" s="3"/>
      <c r="F73" s="3"/>
      <c r="G73" s="24"/>
      <c r="H73" s="24"/>
      <c r="J73" s="1" t="s">
        <v>229</v>
      </c>
      <c r="K73" s="4"/>
      <c r="L73" s="4"/>
      <c r="M73" s="4"/>
      <c r="N73" s="4"/>
      <c r="O73" s="4"/>
      <c r="P73" s="33"/>
      <c r="Q73" s="25"/>
      <c r="R73" s="25"/>
      <c r="S73" s="12">
        <f t="shared" si="15"/>
        <v>0</v>
      </c>
      <c r="T73" s="5">
        <v>0</v>
      </c>
      <c r="U73" s="12">
        <f t="shared" si="16"/>
        <v>0</v>
      </c>
      <c r="V73" s="25" t="s">
        <v>10</v>
      </c>
      <c r="W73" s="11">
        <f>IFERROR(VLOOKUP(V73,Curr!$B$2:$C$13,2,FALSE),0)</f>
        <v>10.8</v>
      </c>
      <c r="X73" s="12">
        <f t="shared" si="17"/>
        <v>0</v>
      </c>
      <c r="Y73" s="26">
        <f t="shared" si="10"/>
        <v>0</v>
      </c>
      <c r="Z73" s="12">
        <f t="shared" si="18"/>
        <v>0</v>
      </c>
      <c r="AA73" s="4" t="s">
        <v>10</v>
      </c>
      <c r="AB73" s="11">
        <f>IFERROR(VLOOKUP(AA73,Curr!$B$2:$C$13,2,FALSE),0)</f>
        <v>10.8</v>
      </c>
      <c r="AC73" s="12">
        <f t="shared" si="19"/>
        <v>0</v>
      </c>
      <c r="AD73" s="12">
        <f t="shared" si="20"/>
        <v>0</v>
      </c>
      <c r="AE73" s="13">
        <f t="shared" si="21"/>
        <v>0</v>
      </c>
    </row>
    <row r="74" spans="2:31" x14ac:dyDescent="0.25">
      <c r="B74" s="4"/>
      <c r="E74" s="3"/>
      <c r="F74" s="3"/>
      <c r="G74" s="24"/>
      <c r="H74" s="24"/>
      <c r="J74" s="1" t="s">
        <v>230</v>
      </c>
      <c r="K74" s="4"/>
      <c r="L74" s="4"/>
      <c r="M74" s="4"/>
      <c r="N74" s="4"/>
      <c r="O74" s="4"/>
      <c r="P74" s="27"/>
      <c r="Q74" s="25"/>
      <c r="R74" s="25"/>
      <c r="S74" s="12">
        <f t="shared" si="15"/>
        <v>0</v>
      </c>
      <c r="T74" s="5">
        <v>0</v>
      </c>
      <c r="U74" s="12">
        <f t="shared" si="16"/>
        <v>0</v>
      </c>
      <c r="V74" s="25" t="s">
        <v>10</v>
      </c>
      <c r="W74" s="11">
        <f>IFERROR(VLOOKUP(V74,Curr!$B$2:$C$13,2,FALSE),0)</f>
        <v>10.8</v>
      </c>
      <c r="X74" s="12">
        <f t="shared" si="17"/>
        <v>0</v>
      </c>
      <c r="Y74" s="26">
        <f t="shared" si="10"/>
        <v>0</v>
      </c>
      <c r="Z74" s="12">
        <f t="shared" si="18"/>
        <v>0</v>
      </c>
      <c r="AA74" s="4" t="s">
        <v>10</v>
      </c>
      <c r="AB74" s="11">
        <f>IFERROR(VLOOKUP(AA74,Curr!$B$2:$C$13,2,FALSE),0)</f>
        <v>10.8</v>
      </c>
      <c r="AC74" s="12">
        <f t="shared" si="19"/>
        <v>0</v>
      </c>
      <c r="AD74" s="12">
        <f t="shared" si="20"/>
        <v>0</v>
      </c>
      <c r="AE74" s="13">
        <f t="shared" si="21"/>
        <v>0</v>
      </c>
    </row>
    <row r="75" spans="2:31" x14ac:dyDescent="0.25">
      <c r="B75" s="4"/>
      <c r="E75" s="3"/>
      <c r="F75" s="3"/>
      <c r="G75" s="24"/>
      <c r="H75" s="24"/>
      <c r="K75" s="4"/>
      <c r="L75" s="4"/>
      <c r="M75" s="4"/>
      <c r="N75" s="4"/>
      <c r="O75" s="4"/>
      <c r="P75" s="27"/>
      <c r="Q75" s="25"/>
      <c r="R75" s="25"/>
      <c r="S75" s="12">
        <f t="shared" si="15"/>
        <v>0</v>
      </c>
      <c r="T75" s="5">
        <v>0</v>
      </c>
      <c r="U75" s="12">
        <f t="shared" si="16"/>
        <v>0</v>
      </c>
      <c r="V75" s="25" t="s">
        <v>10</v>
      </c>
      <c r="W75" s="11">
        <f>IFERROR(VLOOKUP(V75,Curr!$B$2:$C$13,2,FALSE),0)</f>
        <v>10.8</v>
      </c>
      <c r="X75" s="12">
        <f t="shared" si="17"/>
        <v>0</v>
      </c>
      <c r="Y75" s="26">
        <f t="shared" si="10"/>
        <v>0</v>
      </c>
      <c r="Z75" s="12">
        <f t="shared" si="18"/>
        <v>0</v>
      </c>
      <c r="AA75" s="4" t="s">
        <v>10</v>
      </c>
      <c r="AB75" s="11">
        <f>IFERROR(VLOOKUP(AA75,Curr!$B$2:$C$13,2,FALSE),0)</f>
        <v>10.8</v>
      </c>
      <c r="AC75" s="12">
        <f t="shared" si="19"/>
        <v>0</v>
      </c>
      <c r="AD75" s="12">
        <f t="shared" si="20"/>
        <v>0</v>
      </c>
      <c r="AE75" s="13">
        <f t="shared" si="21"/>
        <v>0</v>
      </c>
    </row>
    <row r="76" spans="2:31" x14ac:dyDescent="0.25">
      <c r="B76" s="4"/>
      <c r="E76" s="3"/>
      <c r="F76" s="3"/>
      <c r="G76" s="24"/>
      <c r="H76" s="24"/>
      <c r="K76" s="4"/>
      <c r="L76" s="4"/>
      <c r="M76" s="4"/>
      <c r="N76" s="4"/>
      <c r="O76" s="4"/>
      <c r="P76" s="27"/>
      <c r="Q76" s="25"/>
      <c r="R76" s="25"/>
      <c r="S76" s="12">
        <f t="shared" si="15"/>
        <v>0</v>
      </c>
      <c r="T76" s="5">
        <v>0</v>
      </c>
      <c r="U76" s="12">
        <f t="shared" si="16"/>
        <v>0</v>
      </c>
      <c r="V76" s="25" t="s">
        <v>10</v>
      </c>
      <c r="W76" s="11">
        <f>IFERROR(VLOOKUP(V76,Curr!$B$2:$C$13,2,FALSE),0)</f>
        <v>10.8</v>
      </c>
      <c r="X76" s="12">
        <f t="shared" si="17"/>
        <v>0</v>
      </c>
      <c r="Y76" s="26">
        <f t="shared" si="10"/>
        <v>0</v>
      </c>
      <c r="Z76" s="12">
        <f t="shared" si="18"/>
        <v>0</v>
      </c>
      <c r="AA76" s="4" t="s">
        <v>10</v>
      </c>
      <c r="AB76" s="11">
        <f>IFERROR(VLOOKUP(AA76,Curr!$B$2:$C$13,2,FALSE),0)</f>
        <v>10.8</v>
      </c>
      <c r="AC76" s="12">
        <f t="shared" si="19"/>
        <v>0</v>
      </c>
      <c r="AD76" s="12">
        <f t="shared" si="20"/>
        <v>0</v>
      </c>
      <c r="AE76" s="13">
        <f t="shared" si="21"/>
        <v>0</v>
      </c>
    </row>
    <row r="77" spans="2:31" x14ac:dyDescent="0.25">
      <c r="B77" s="4"/>
      <c r="E77" s="3"/>
      <c r="F77" s="3"/>
      <c r="G77" s="24"/>
      <c r="H77" s="24"/>
      <c r="K77" s="4"/>
      <c r="L77" s="4"/>
      <c r="M77" s="4"/>
      <c r="N77" s="4"/>
      <c r="O77" s="4"/>
      <c r="P77" s="27"/>
      <c r="Q77" s="25"/>
      <c r="R77" s="25"/>
      <c r="S77" s="12">
        <f t="shared" si="15"/>
        <v>0</v>
      </c>
      <c r="T77" s="5">
        <v>0</v>
      </c>
      <c r="U77" s="12">
        <f t="shared" si="16"/>
        <v>0</v>
      </c>
      <c r="V77" s="25" t="s">
        <v>10</v>
      </c>
      <c r="W77" s="11">
        <f>IFERROR(VLOOKUP(V77,Curr!$B$2:$C$13,2,FALSE),0)</f>
        <v>10.8</v>
      </c>
      <c r="X77" s="12">
        <f t="shared" si="17"/>
        <v>0</v>
      </c>
      <c r="Y77" s="26">
        <f t="shared" si="10"/>
        <v>0</v>
      </c>
      <c r="Z77" s="12">
        <f t="shared" si="18"/>
        <v>0</v>
      </c>
      <c r="AA77" s="4" t="s">
        <v>10</v>
      </c>
      <c r="AB77" s="11">
        <f>IFERROR(VLOOKUP(AA77,Curr!$B$2:$C$13,2,FALSE),0)</f>
        <v>10.8</v>
      </c>
      <c r="AC77" s="12">
        <f t="shared" si="19"/>
        <v>0</v>
      </c>
      <c r="AD77" s="12">
        <f t="shared" si="20"/>
        <v>0</v>
      </c>
      <c r="AE77" s="13">
        <f t="shared" si="21"/>
        <v>0</v>
      </c>
    </row>
    <row r="78" spans="2:31" x14ac:dyDescent="0.25">
      <c r="B78" s="4"/>
      <c r="E78" s="3"/>
      <c r="F78" s="3"/>
      <c r="G78" s="24"/>
      <c r="H78" s="24"/>
      <c r="K78" s="4"/>
      <c r="L78" s="4"/>
      <c r="M78" s="4"/>
      <c r="N78" s="4"/>
      <c r="O78" s="4"/>
      <c r="P78" s="27"/>
      <c r="Q78" s="25"/>
      <c r="R78" s="25"/>
      <c r="S78" s="12">
        <f t="shared" si="15"/>
        <v>0</v>
      </c>
      <c r="T78" s="5">
        <v>0</v>
      </c>
      <c r="U78" s="12">
        <f t="shared" si="16"/>
        <v>0</v>
      </c>
      <c r="V78" s="25" t="s">
        <v>10</v>
      </c>
      <c r="W78" s="11">
        <f>IFERROR(VLOOKUP(V78,Curr!$B$2:$C$13,2,FALSE),0)</f>
        <v>10.8</v>
      </c>
      <c r="X78" s="12">
        <f t="shared" si="17"/>
        <v>0</v>
      </c>
      <c r="Y78" s="26">
        <f t="shared" si="10"/>
        <v>0</v>
      </c>
      <c r="Z78" s="12">
        <f t="shared" si="18"/>
        <v>0</v>
      </c>
      <c r="AA78" s="4" t="s">
        <v>10</v>
      </c>
      <c r="AB78" s="11">
        <f>IFERROR(VLOOKUP(AA78,Curr!$B$2:$C$13,2,FALSE),0)</f>
        <v>10.8</v>
      </c>
      <c r="AC78" s="12">
        <f t="shared" si="19"/>
        <v>0</v>
      </c>
      <c r="AD78" s="12">
        <f t="shared" si="20"/>
        <v>0</v>
      </c>
      <c r="AE78" s="13">
        <f t="shared" si="21"/>
        <v>0</v>
      </c>
    </row>
    <row r="79" spans="2:31" x14ac:dyDescent="0.25">
      <c r="B79" s="4"/>
      <c r="E79" s="3"/>
      <c r="F79" s="3"/>
      <c r="G79" s="24"/>
      <c r="H79" s="24"/>
      <c r="K79" s="4"/>
      <c r="L79" s="4"/>
      <c r="M79" s="4"/>
      <c r="N79" s="4"/>
      <c r="O79" s="4"/>
      <c r="P79" s="27"/>
      <c r="Q79" s="25"/>
      <c r="R79" s="25"/>
      <c r="S79" s="12">
        <f t="shared" si="15"/>
        <v>0</v>
      </c>
      <c r="T79" s="5">
        <v>0</v>
      </c>
      <c r="U79" s="12">
        <f t="shared" si="16"/>
        <v>0</v>
      </c>
      <c r="V79" s="25" t="s">
        <v>10</v>
      </c>
      <c r="W79" s="11">
        <f>IFERROR(VLOOKUP(V79,Curr!$B$2:$C$13,2,FALSE),0)</f>
        <v>10.8</v>
      </c>
      <c r="X79" s="12">
        <f t="shared" si="17"/>
        <v>0</v>
      </c>
      <c r="Y79" s="26">
        <f t="shared" si="10"/>
        <v>0</v>
      </c>
      <c r="Z79" s="12">
        <f t="shared" si="18"/>
        <v>0</v>
      </c>
      <c r="AA79" s="4" t="s">
        <v>10</v>
      </c>
      <c r="AB79" s="11">
        <f>IFERROR(VLOOKUP(AA79,Curr!$B$2:$C$13,2,FALSE),0)</f>
        <v>10.8</v>
      </c>
      <c r="AC79" s="12">
        <f t="shared" si="19"/>
        <v>0</v>
      </c>
      <c r="AD79" s="12">
        <f t="shared" si="20"/>
        <v>0</v>
      </c>
      <c r="AE79" s="13">
        <f t="shared" si="21"/>
        <v>0</v>
      </c>
    </row>
    <row r="80" spans="2:31" x14ac:dyDescent="0.25">
      <c r="B80" s="4"/>
      <c r="E80" s="3"/>
      <c r="F80" s="3"/>
      <c r="G80" s="24"/>
      <c r="H80" s="24"/>
      <c r="K80" s="4"/>
      <c r="L80" s="4"/>
      <c r="M80" s="4"/>
      <c r="N80" s="4"/>
      <c r="O80" s="4"/>
      <c r="P80" s="27"/>
      <c r="Q80" s="25"/>
      <c r="R80" s="25"/>
      <c r="S80" s="12">
        <f t="shared" si="15"/>
        <v>0</v>
      </c>
      <c r="T80" s="5">
        <v>0</v>
      </c>
      <c r="U80" s="12">
        <f t="shared" si="16"/>
        <v>0</v>
      </c>
      <c r="V80" s="25" t="s">
        <v>10</v>
      </c>
      <c r="W80" s="11">
        <f>IFERROR(VLOOKUP(V80,Curr!$B$2:$C$13,2,FALSE),0)</f>
        <v>10.8</v>
      </c>
      <c r="X80" s="12">
        <f t="shared" si="17"/>
        <v>0</v>
      </c>
      <c r="Y80" s="26">
        <f t="shared" si="10"/>
        <v>0</v>
      </c>
      <c r="Z80" s="12">
        <f t="shared" si="18"/>
        <v>0</v>
      </c>
      <c r="AA80" s="4" t="s">
        <v>10</v>
      </c>
      <c r="AB80" s="11">
        <f>IFERROR(VLOOKUP(AA80,Curr!$B$2:$C$13,2,FALSE),0)</f>
        <v>10.8</v>
      </c>
      <c r="AC80" s="12">
        <f t="shared" si="19"/>
        <v>0</v>
      </c>
      <c r="AD80" s="12">
        <f t="shared" si="20"/>
        <v>0</v>
      </c>
      <c r="AE80" s="13">
        <f t="shared" si="21"/>
        <v>0</v>
      </c>
    </row>
    <row r="81" spans="2:36" x14ac:dyDescent="0.25">
      <c r="B81" s="4"/>
      <c r="E81" s="3"/>
      <c r="F81" s="3"/>
      <c r="G81" s="24"/>
      <c r="H81" s="24"/>
      <c r="K81" s="4"/>
      <c r="L81" s="4"/>
      <c r="M81" s="4"/>
      <c r="N81" s="4"/>
      <c r="O81" s="4"/>
      <c r="P81" s="33"/>
      <c r="Q81" s="25"/>
      <c r="R81" s="25"/>
      <c r="S81" s="12">
        <f t="shared" si="15"/>
        <v>0</v>
      </c>
      <c r="T81" s="5">
        <v>0</v>
      </c>
      <c r="U81" s="12">
        <f t="shared" si="16"/>
        <v>0</v>
      </c>
      <c r="V81" s="25" t="s">
        <v>10</v>
      </c>
      <c r="W81" s="11">
        <f>IFERROR(VLOOKUP(V81,Curr!$B$2:$C$13,2,FALSE),0)</f>
        <v>10.8</v>
      </c>
      <c r="X81" s="12">
        <f t="shared" si="17"/>
        <v>0</v>
      </c>
      <c r="Y81" s="26">
        <f t="shared" si="10"/>
        <v>0</v>
      </c>
      <c r="Z81" s="12">
        <f t="shared" si="18"/>
        <v>0</v>
      </c>
      <c r="AA81" s="4" t="s">
        <v>10</v>
      </c>
      <c r="AB81" s="11">
        <f>IFERROR(VLOOKUP(AA81,Curr!$B$2:$C$13,2,FALSE),0)</f>
        <v>10.8</v>
      </c>
      <c r="AC81" s="12">
        <f t="shared" si="19"/>
        <v>0</v>
      </c>
      <c r="AD81" s="12">
        <f t="shared" si="20"/>
        <v>0</v>
      </c>
      <c r="AE81" s="13">
        <f t="shared" si="21"/>
        <v>0</v>
      </c>
    </row>
    <row r="82" spans="2:36" x14ac:dyDescent="0.25">
      <c r="B82" s="4"/>
      <c r="E82" s="3"/>
      <c r="F82" s="3"/>
      <c r="G82" s="24"/>
      <c r="H82" s="24"/>
      <c r="K82" s="4"/>
      <c r="L82" s="4"/>
      <c r="M82" s="4"/>
      <c r="N82" s="4"/>
      <c r="O82" s="4"/>
      <c r="P82" s="27"/>
      <c r="Q82" s="25"/>
      <c r="R82" s="25"/>
      <c r="S82" s="12">
        <f t="shared" si="15"/>
        <v>0</v>
      </c>
      <c r="T82" s="5">
        <v>0</v>
      </c>
      <c r="U82" s="12">
        <f t="shared" si="16"/>
        <v>0</v>
      </c>
      <c r="V82" s="25" t="s">
        <v>10</v>
      </c>
      <c r="W82" s="11">
        <f>IFERROR(VLOOKUP(V82,Curr!$B$2:$C$13,2,FALSE),0)</f>
        <v>10.8</v>
      </c>
      <c r="X82" s="12">
        <f t="shared" si="17"/>
        <v>0</v>
      </c>
      <c r="Y82" s="26">
        <f t="shared" si="10"/>
        <v>0</v>
      </c>
      <c r="Z82" s="12">
        <f t="shared" si="18"/>
        <v>0</v>
      </c>
      <c r="AA82" s="4" t="s">
        <v>10</v>
      </c>
      <c r="AB82" s="11">
        <f>IFERROR(VLOOKUP(AA82,Curr!$B$2:$C$13,2,FALSE),0)</f>
        <v>10.8</v>
      </c>
      <c r="AC82" s="12">
        <f t="shared" si="19"/>
        <v>0</v>
      </c>
      <c r="AD82" s="12">
        <f t="shared" si="20"/>
        <v>0</v>
      </c>
      <c r="AE82" s="13">
        <f t="shared" si="21"/>
        <v>0</v>
      </c>
    </row>
    <row r="83" spans="2:36" x14ac:dyDescent="0.25">
      <c r="B83" s="4"/>
      <c r="E83" s="3"/>
      <c r="F83" s="3"/>
      <c r="G83" s="24"/>
      <c r="H83" s="24"/>
      <c r="K83" s="4"/>
      <c r="L83" s="4"/>
      <c r="M83" s="4"/>
      <c r="N83" s="4"/>
      <c r="O83" s="4"/>
      <c r="P83" s="33"/>
      <c r="Q83" s="25"/>
      <c r="R83" s="25"/>
      <c r="S83" s="12">
        <f t="shared" si="15"/>
        <v>0</v>
      </c>
      <c r="T83" s="5">
        <v>0</v>
      </c>
      <c r="U83" s="12">
        <f t="shared" si="16"/>
        <v>0</v>
      </c>
      <c r="V83" s="25" t="s">
        <v>10</v>
      </c>
      <c r="W83" s="11">
        <f>IFERROR(VLOOKUP(V83,Curr!$B$2:$C$13,2,FALSE),0)</f>
        <v>10.8</v>
      </c>
      <c r="X83" s="12">
        <f t="shared" si="17"/>
        <v>0</v>
      </c>
      <c r="Y83" s="26">
        <f t="shared" si="10"/>
        <v>0</v>
      </c>
      <c r="Z83" s="12">
        <f t="shared" si="18"/>
        <v>0</v>
      </c>
      <c r="AA83" s="4" t="s">
        <v>10</v>
      </c>
      <c r="AB83" s="11">
        <f>IFERROR(VLOOKUP(AA83,Curr!$B$2:$C$13,2,FALSE),0)</f>
        <v>10.8</v>
      </c>
      <c r="AC83" s="12">
        <f t="shared" si="19"/>
        <v>0</v>
      </c>
      <c r="AD83" s="12">
        <f t="shared" si="20"/>
        <v>0</v>
      </c>
      <c r="AE83" s="13">
        <f t="shared" si="21"/>
        <v>0</v>
      </c>
    </row>
    <row r="84" spans="2:36" x14ac:dyDescent="0.25">
      <c r="B84" s="4"/>
      <c r="E84" s="3"/>
      <c r="F84" s="3"/>
      <c r="G84" s="3"/>
      <c r="H84" s="3"/>
      <c r="L84" s="4"/>
      <c r="M84" s="4"/>
      <c r="N84" s="4"/>
      <c r="O84" s="4"/>
      <c r="P84" s="22"/>
      <c r="Q84" s="4"/>
      <c r="R84" s="4"/>
      <c r="S84" s="4"/>
      <c r="T84" s="4"/>
      <c r="U84" s="4"/>
      <c r="V84" s="4"/>
      <c r="W84" s="4"/>
      <c r="X84" s="4"/>
      <c r="Y84" s="4"/>
      <c r="Z84" s="4"/>
      <c r="AA84" s="4"/>
      <c r="AB84" s="4"/>
      <c r="AC84" s="4"/>
      <c r="AD84" s="4"/>
      <c r="AE84" s="4"/>
      <c r="AF84" s="4"/>
    </row>
    <row r="85" spans="2:36" x14ac:dyDescent="0.25">
      <c r="B85" s="14" t="s">
        <v>18</v>
      </c>
      <c r="C85" s="14"/>
      <c r="D85" s="28" t="s">
        <v>42</v>
      </c>
      <c r="E85" s="30" t="s">
        <v>42</v>
      </c>
      <c r="F85" s="30" t="s">
        <v>42</v>
      </c>
      <c r="G85" s="30" t="s">
        <v>42</v>
      </c>
      <c r="H85" s="30" t="s">
        <v>42</v>
      </c>
      <c r="I85" s="28" t="s">
        <v>42</v>
      </c>
      <c r="J85" s="28" t="s">
        <v>42</v>
      </c>
      <c r="K85" s="28" t="s">
        <v>42</v>
      </c>
      <c r="L85" s="28" t="s">
        <v>42</v>
      </c>
      <c r="M85" s="28" t="s">
        <v>42</v>
      </c>
      <c r="N85" s="28" t="s">
        <v>42</v>
      </c>
      <c r="O85" s="28" t="s">
        <v>42</v>
      </c>
      <c r="P85" s="28" t="s">
        <v>42</v>
      </c>
      <c r="Q85" s="31" t="s">
        <v>42</v>
      </c>
      <c r="R85" s="28" t="s">
        <v>42</v>
      </c>
      <c r="S85" s="32" t="s">
        <v>42</v>
      </c>
      <c r="T85" s="28" t="s">
        <v>42</v>
      </c>
      <c r="U85" s="32" t="s">
        <v>42</v>
      </c>
      <c r="V85" s="28" t="s">
        <v>42</v>
      </c>
      <c r="W85" s="28" t="s">
        <v>42</v>
      </c>
      <c r="X85" s="32" t="s">
        <v>42</v>
      </c>
      <c r="Y85" s="32" t="s">
        <v>42</v>
      </c>
      <c r="Z85" s="15">
        <f>SUM(Z7:Z83)</f>
        <v>30416.732620320858</v>
      </c>
      <c r="AA85" s="14"/>
      <c r="AB85" s="14"/>
      <c r="AC85" s="15">
        <f>SUM(AC7:AC83)</f>
        <v>328500.7122994652</v>
      </c>
      <c r="AD85" s="15">
        <f>SUM(AD7:AD83)</f>
        <v>61687.872299465242</v>
      </c>
      <c r="AE85" s="21">
        <f t="shared" ref="AE85" si="22">IFERROR(AD85/AC85,0)</f>
        <v>0.18778611427554481</v>
      </c>
      <c r="AF85" s="15">
        <f>SUM(AF8:AF84)</f>
        <v>0</v>
      </c>
      <c r="AG85" s="15">
        <f>SUM(AG8:AG84)</f>
        <v>0</v>
      </c>
      <c r="AH85" s="15">
        <f>SUM(AH8:AH84)</f>
        <v>0</v>
      </c>
      <c r="AI85" s="15">
        <f>SUM(AI8:AI84)</f>
        <v>0</v>
      </c>
      <c r="AJ85" s="15">
        <f>SUM(AJ8:AJ84)</f>
        <v>0</v>
      </c>
    </row>
    <row r="86" spans="2:36" x14ac:dyDescent="0.25">
      <c r="B86" s="4"/>
      <c r="E86" s="3"/>
      <c r="F86" s="3"/>
      <c r="G86" s="3"/>
      <c r="H86" s="3"/>
      <c r="L86" s="4"/>
      <c r="M86" s="4"/>
      <c r="N86" s="4"/>
      <c r="O86" s="4"/>
      <c r="Q86" s="4"/>
      <c r="R86" s="4"/>
      <c r="S86" s="4"/>
      <c r="T86" s="4"/>
      <c r="U86" s="4"/>
      <c r="V86" s="4"/>
      <c r="W86" s="4"/>
      <c r="X86" s="4"/>
      <c r="Y86" s="9"/>
      <c r="Z86" s="9"/>
      <c r="AA86" s="9"/>
      <c r="AB86" s="9"/>
      <c r="AC86" s="9"/>
      <c r="AD86" s="9"/>
      <c r="AE86" s="9"/>
    </row>
    <row r="87" spans="2:36" x14ac:dyDescent="0.25">
      <c r="B87" s="4"/>
      <c r="E87" s="3"/>
      <c r="F87" s="3"/>
      <c r="G87" s="3"/>
      <c r="H87" s="3"/>
      <c r="L87" s="4"/>
      <c r="M87" s="4"/>
      <c r="N87" s="4"/>
      <c r="O87" s="4"/>
      <c r="Q87" s="9"/>
      <c r="R87" s="9"/>
      <c r="S87" s="9"/>
      <c r="T87" s="9"/>
      <c r="U87" s="9"/>
      <c r="V87" s="9"/>
      <c r="W87" s="9"/>
      <c r="X87" s="23"/>
      <c r="Y87" s="34" t="s">
        <v>43</v>
      </c>
      <c r="Z87" s="34">
        <v>25080</v>
      </c>
      <c r="AA87" s="9"/>
      <c r="AB87" s="9"/>
      <c r="AC87" s="9"/>
      <c r="AD87" s="9"/>
      <c r="AE87" s="9"/>
    </row>
    <row r="88" spans="2:36" x14ac:dyDescent="0.25">
      <c r="B88" s="4"/>
      <c r="E88" s="3"/>
      <c r="F88" s="3"/>
      <c r="G88" s="3"/>
      <c r="H88" s="3"/>
      <c r="J88" s="1" t="s">
        <v>235</v>
      </c>
      <c r="L88" s="4"/>
      <c r="M88" s="4"/>
      <c r="N88" s="4"/>
      <c r="O88" s="4"/>
      <c r="P88" s="1">
        <v>4127</v>
      </c>
      <c r="Q88" s="36" t="s">
        <v>237</v>
      </c>
      <c r="R88" s="9" t="s">
        <v>32</v>
      </c>
      <c r="S88" s="9"/>
      <c r="T88" s="9"/>
      <c r="U88" s="9"/>
      <c r="V88" s="9"/>
      <c r="W88" s="9"/>
      <c r="X88" s="9"/>
      <c r="Y88" s="34" t="s">
        <v>44</v>
      </c>
      <c r="Z88" s="34">
        <f>Z87/4</f>
        <v>6270</v>
      </c>
      <c r="AA88" s="9"/>
      <c r="AB88" s="9"/>
      <c r="AC88" s="9"/>
      <c r="AD88" s="9"/>
      <c r="AE88" s="9"/>
      <c r="AF88" s="18"/>
    </row>
    <row r="89" spans="2:36" x14ac:dyDescent="0.25">
      <c r="B89" s="4"/>
      <c r="E89" s="3"/>
      <c r="F89" s="3"/>
      <c r="G89" s="3"/>
      <c r="H89" s="3"/>
      <c r="I89" s="19"/>
      <c r="J89" s="35" t="s">
        <v>236</v>
      </c>
      <c r="L89" s="4"/>
      <c r="M89" s="4"/>
      <c r="N89" s="4"/>
      <c r="O89" s="20"/>
      <c r="P89" s="1">
        <v>2470</v>
      </c>
      <c r="Q89" s="37" t="s">
        <v>238</v>
      </c>
      <c r="R89" s="20" t="s">
        <v>32</v>
      </c>
      <c r="S89" s="20"/>
      <c r="T89" s="20"/>
      <c r="U89" s="20"/>
      <c r="V89" s="20"/>
      <c r="W89" s="20"/>
      <c r="X89" s="20"/>
      <c r="Y89" s="9"/>
      <c r="Z89" s="9"/>
      <c r="AA89" s="9"/>
      <c r="AB89" s="9"/>
      <c r="AC89" s="9"/>
      <c r="AD89" s="9"/>
      <c r="AE89" s="9"/>
      <c r="AF89" s="18"/>
    </row>
    <row r="90" spans="2:36" x14ac:dyDescent="0.25">
      <c r="B90" s="4"/>
      <c r="E90" s="3"/>
      <c r="F90" s="3"/>
      <c r="G90" s="3"/>
      <c r="H90" s="3"/>
      <c r="J90" s="1" t="s">
        <v>239</v>
      </c>
      <c r="L90" s="4"/>
      <c r="M90" s="4"/>
      <c r="N90" s="4"/>
      <c r="O90" s="20"/>
      <c r="P90" s="1">
        <v>1787</v>
      </c>
      <c r="Q90" s="37" t="s">
        <v>240</v>
      </c>
      <c r="R90" s="20" t="s">
        <v>32</v>
      </c>
      <c r="S90" s="20"/>
      <c r="T90" s="20"/>
      <c r="U90" s="20"/>
      <c r="V90" s="20"/>
      <c r="W90" s="20"/>
      <c r="X90" s="20"/>
      <c r="Y90" s="34" t="s">
        <v>31</v>
      </c>
      <c r="Z90" s="34">
        <f>Z85*1.17</f>
        <v>35587.577165775401</v>
      </c>
      <c r="AA90" s="9"/>
      <c r="AB90" s="9"/>
      <c r="AC90" s="9"/>
      <c r="AD90" s="9"/>
      <c r="AE90" s="9"/>
      <c r="AF90" s="18"/>
    </row>
    <row r="91" spans="2:36" x14ac:dyDescent="0.25">
      <c r="B91" s="4"/>
      <c r="E91" s="3"/>
      <c r="F91" s="3"/>
      <c r="G91" s="3"/>
      <c r="H91" s="3"/>
      <c r="L91" s="4"/>
      <c r="M91" s="4"/>
      <c r="N91" s="4"/>
      <c r="O91" s="4"/>
      <c r="Q91" s="9"/>
      <c r="R91" s="9"/>
      <c r="S91" s="9"/>
      <c r="T91" s="9"/>
      <c r="U91" s="9"/>
      <c r="V91" s="9"/>
      <c r="W91" s="9"/>
      <c r="X91" s="9"/>
      <c r="Y91" s="34" t="s">
        <v>44</v>
      </c>
      <c r="Z91" s="34">
        <f>Z90/4</f>
        <v>8896.8942914438503</v>
      </c>
      <c r="AA91" s="9"/>
      <c r="AB91" s="9"/>
      <c r="AC91" s="9"/>
      <c r="AD91" s="9"/>
      <c r="AE91" s="9"/>
      <c r="AF91" s="18"/>
    </row>
    <row r="92" spans="2:36" x14ac:dyDescent="0.25">
      <c r="F92" s="1"/>
      <c r="G92" s="1"/>
      <c r="H92" s="1"/>
      <c r="J92" s="1" t="s">
        <v>32</v>
      </c>
      <c r="Q92" s="9"/>
      <c r="R92" s="4"/>
      <c r="S92" s="9"/>
      <c r="T92" s="5"/>
      <c r="U92" s="9"/>
      <c r="V92" s="4"/>
      <c r="W92" s="4"/>
      <c r="X92" s="9"/>
      <c r="Y92" s="9"/>
      <c r="Z92" s="9"/>
      <c r="AA92" s="9"/>
      <c r="AB92" s="9"/>
      <c r="AC92" s="9"/>
      <c r="AD92" s="9"/>
      <c r="AE92" s="9"/>
    </row>
    <row r="93" spans="2:36" x14ac:dyDescent="0.25">
      <c r="R93" s="4"/>
      <c r="S93" s="17"/>
      <c r="T93" s="17"/>
      <c r="U93" s="9"/>
      <c r="V93" s="4"/>
      <c r="W93" s="4"/>
      <c r="X93" s="9"/>
      <c r="Y93" s="9" t="s">
        <v>208</v>
      </c>
      <c r="Z93" s="9">
        <f>Z87-Y9-Y19-Y23-Y31-Y39-Y48-Y59-Y72</f>
        <v>3563.676470588236</v>
      </c>
      <c r="AA93" s="9"/>
      <c r="AB93" s="9"/>
      <c r="AC93" s="9"/>
      <c r="AD93" s="9"/>
      <c r="AE93" s="9"/>
    </row>
    <row r="94" spans="2:36" x14ac:dyDescent="0.25">
      <c r="Q94" s="9"/>
      <c r="R94" s="4"/>
      <c r="S94" s="16"/>
      <c r="T94" s="16"/>
      <c r="U94" s="9"/>
      <c r="V94" s="4"/>
      <c r="W94" s="4"/>
      <c r="X94" s="9"/>
      <c r="Y94" s="9" t="s">
        <v>31</v>
      </c>
      <c r="Z94" s="9">
        <f>Z93*1.17</f>
        <v>4169.5014705882359</v>
      </c>
      <c r="AA94" s="9"/>
      <c r="AB94" s="9"/>
      <c r="AC94" s="9"/>
      <c r="AD94" s="9"/>
      <c r="AE94" s="9"/>
    </row>
    <row r="95" spans="2:36" x14ac:dyDescent="0.25">
      <c r="R95" s="4"/>
      <c r="S95" s="16"/>
      <c r="T95" s="16"/>
      <c r="Y95" s="9" t="s">
        <v>44</v>
      </c>
      <c r="Z95" s="9">
        <f>Z94/4</f>
        <v>1042.375367647059</v>
      </c>
      <c r="AA95" s="9"/>
      <c r="AB95" s="9"/>
      <c r="AC95" s="9"/>
      <c r="AD95" s="9"/>
      <c r="AE95" s="9"/>
    </row>
    <row r="96" spans="2:36" x14ac:dyDescent="0.25">
      <c r="T96" s="5"/>
      <c r="Y96" s="9"/>
      <c r="Z96" s="9"/>
      <c r="AA96" s="9"/>
      <c r="AB96" s="9"/>
      <c r="AC96" s="9"/>
      <c r="AD96" s="9"/>
      <c r="AE96" s="9"/>
    </row>
    <row r="97" spans="20:31" x14ac:dyDescent="0.25">
      <c r="T97" s="5"/>
      <c r="Y97" s="9" t="s">
        <v>227</v>
      </c>
      <c r="Z97" s="9">
        <v>11600</v>
      </c>
      <c r="AA97" s="9"/>
      <c r="AB97" s="9"/>
      <c r="AC97" s="9"/>
      <c r="AD97" s="9"/>
      <c r="AE97" s="9"/>
    </row>
    <row r="98" spans="20:31" x14ac:dyDescent="0.25">
      <c r="T98" s="5"/>
      <c r="Y98" s="9"/>
      <c r="Z98" s="9">
        <f>Z97/4</f>
        <v>2900</v>
      </c>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c r="Y103" s="9"/>
      <c r="Z103" s="9"/>
      <c r="AA103" s="9"/>
      <c r="AB103" s="9"/>
      <c r="AC103" s="9"/>
      <c r="AD103" s="9"/>
      <c r="AE103" s="9"/>
    </row>
    <row r="104" spans="20:31" x14ac:dyDescent="0.25">
      <c r="T104" s="5"/>
    </row>
    <row r="105" spans="20:31" x14ac:dyDescent="0.25">
      <c r="T105" s="5"/>
    </row>
    <row r="106" spans="20:31" x14ac:dyDescent="0.25">
      <c r="T106" s="5"/>
    </row>
    <row r="107" spans="20:31" x14ac:dyDescent="0.25">
      <c r="T107" s="5"/>
    </row>
    <row r="108" spans="20:31" x14ac:dyDescent="0.25">
      <c r="T108" s="5"/>
    </row>
  </sheetData>
  <autoFilter ref="B6:AE85" xr:uid="{65FA6D9B-E0AF-46CD-BA0D-86BB75FE6AB0}"/>
  <hyperlinks>
    <hyperlink ref="P37" r:id="rId1" display="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xr:uid="{873D2EDA-3F67-45D4-BA18-C384888947BF}"/>
    <hyperlink ref="P42" r:id="rId2" xr:uid="{8E589ED3-6A02-4285-809E-60180AE381DD}"/>
    <hyperlink ref="P46" r:id="rId3" xr:uid="{D96202AD-6BF7-4106-B61F-A0E80B77DA88}"/>
    <hyperlink ref="P39" r:id="rId4" xr:uid="{FCF28987-111A-48D3-96E7-F0FE95169658}"/>
    <hyperlink ref="P47" r:id="rId5" xr:uid="{5AC653E6-E188-4C49-B4DC-18ECEB6171EF}"/>
    <hyperlink ref="P51" r:id="rId6" xr:uid="{3DBDF990-6721-487B-8F4E-5263816590FF}"/>
    <hyperlink ref="P55" r:id="rId7" xr:uid="{0AC49021-2EE4-4666-8B48-BA975E1DAA17}"/>
    <hyperlink ref="P56" r:id="rId8" location="/select-flight" xr:uid="{6226CB9C-3A7B-43F9-ACAB-EAD7228A36A4}"/>
    <hyperlink ref="P48" r:id="rId9" xr:uid="{FF132099-AA6D-48FA-AD52-144478C35785}"/>
    <hyperlink ref="P59" r:id="rId10" xr:uid="{0E6031EC-177C-4220-BA57-CDC876C3DDB6}"/>
    <hyperlink ref="P62" r:id="rId11" xr:uid="{067F0922-297F-4609-88C7-90E8CC6471A3}"/>
    <hyperlink ref="P28" r:id="rId12" xr:uid="{B0FCB6DD-8F48-4487-89B9-7A82FFDF1EF9}"/>
    <hyperlink ref="P13" r:id="rId13" xr:uid="{FCABF79A-8FAA-4530-A8C0-BC7E32CA85CB}"/>
    <hyperlink ref="P33" r:id="rId14" xr:uid="{2241029D-66A3-4F6D-B05C-FFBC1E326F43}"/>
    <hyperlink ref="P23" r:id="rId15" xr:uid="{76A4AF75-5B7D-4D12-BF1F-316A6929C2B9}"/>
    <hyperlink ref="P19" r:id="rId16" xr:uid="{7C954193-5A46-4A1E-ACAB-3A7BF7FE4FF9}"/>
    <hyperlink ref="P17" r:id="rId17" display="https://app.hotelbeds.com/carhire/search?baggage=4&amp;results=20&amp;sortBy=LOWEST_PRICE_FIRST&amp;field=PRICE&amp;direction=ASCENDING&amp;page=2&amp;destinationTab=Reykjav%C3%ADk&amp;pickupDate=29-06-2026&amp;pickupTime=12:00&amp;dropoffDate=03-07-2026&amp;dropoffTime=12:00&amp;sameOfficeCheckbox=false&amp;officePickupControl=1171&amp;officeDropoffControl=701&amp;typeDepartureCode=airport&amp;_timestamp=1776931327625&amp;departureTab=Keflav%C3%ADk%20International%20Airport%20(KEF)&amp;typeArrivalCode=city" xr:uid="{F1ECB809-4D03-4A18-B1AD-01A65ACE1F99}"/>
    <hyperlink ref="P31" r:id="rId18" xr:uid="{352EB919-5717-49E0-BA23-9B982CC50A12}"/>
    <hyperlink ref="P57" r:id="rId19" display="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xr:uid="{38246D95-7065-465D-AE52-D922939B05B5}"/>
    <hyperlink ref="P11" r:id="rId20" xr:uid="{BF6ED2E4-20DD-453A-A210-7D2987C08F35}"/>
    <hyperlink ref="P24" r:id="rId21" xr:uid="{72D2C418-98B2-401D-AB20-6D0BF2ED76CD}"/>
    <hyperlink ref="P53" r:id="rId22" xr:uid="{4F9A4DD4-1242-458A-9897-5CFF49E7151E}"/>
    <hyperlink ref="Q88" r:id="rId23" xr:uid="{A8D5D503-F4A3-43B0-8EF0-633D07A2D554}"/>
    <hyperlink ref="Q89" r:id="rId24" xr:uid="{3E4FA269-5381-4DED-8E80-6205ACDBB02D}"/>
    <hyperlink ref="Q90" r:id="rId25" xr:uid="{AFE975A3-48C5-4221-8729-6EC2E9B1B965}"/>
    <hyperlink ref="P9" r:id="rId26" xr:uid="{E2DEEADF-239F-467B-9596-1ACD31E2D938}"/>
  </hyperlinks>
  <pageMargins left="0.7" right="0.7" top="0.75" bottom="0.75" header="0.3" footer="0.3"/>
  <pageSetup paperSize="9" orientation="portrait" r:id="rId2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7D41-A00A-4857-9C97-FBB07C5AE45D}">
  <sheetPr filterMode="1">
    <tabColor rgb="FFFFFF00"/>
  </sheetPr>
  <dimension ref="B1:AJ107"/>
  <sheetViews>
    <sheetView tabSelected="1" zoomScale="80" zoomScaleNormal="80" workbookViewId="0">
      <selection activeCell="M9" sqref="M9"/>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customWidth="1" outlineLevel="1"/>
    <col min="9" max="9" width="21.7109375" style="1" customWidth="1" outlineLevel="1"/>
    <col min="10" max="10" width="53.85546875" style="1" customWidth="1"/>
    <col min="11" max="12" width="8.140625" style="1" customWidth="1" outlineLevel="1"/>
    <col min="13" max="13" width="24" style="1" customWidth="1" outlineLevel="1"/>
    <col min="14" max="15" width="11.7109375" style="1" customWidth="1" outlineLevel="1"/>
    <col min="16" max="16" width="8.140625" style="1" customWidth="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customWidth="1" outlineLevel="1"/>
    <col min="37" max="82" width="9" style="1" customWidth="1"/>
    <col min="83" max="16384" width="8.7109375" style="1"/>
  </cols>
  <sheetData>
    <row r="1" spans="2:36" x14ac:dyDescent="0.25">
      <c r="B1" s="2" t="s">
        <v>244</v>
      </c>
    </row>
    <row r="2" spans="2:36" x14ac:dyDescent="0.25">
      <c r="B2" s="2" t="s">
        <v>212</v>
      </c>
    </row>
    <row r="3" spans="2:36" x14ac:dyDescent="0.25">
      <c r="B3" s="2" t="s">
        <v>45</v>
      </c>
    </row>
    <row r="4" spans="2:36" x14ac:dyDescent="0.25">
      <c r="B4" s="2" t="s">
        <v>46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hidden="1" x14ac:dyDescent="0.25">
      <c r="B7" s="4"/>
      <c r="C7" s="1" t="s">
        <v>47</v>
      </c>
      <c r="D7" s="1" t="s">
        <v>48</v>
      </c>
      <c r="E7" s="3" t="s">
        <v>77</v>
      </c>
      <c r="F7" s="3"/>
      <c r="G7" s="3"/>
      <c r="H7" s="3"/>
      <c r="J7" s="1" t="s">
        <v>52</v>
      </c>
      <c r="K7" s="4"/>
      <c r="L7" s="4"/>
      <c r="M7" s="4"/>
      <c r="N7" s="4"/>
      <c r="O7" s="4"/>
      <c r="P7" s="27"/>
      <c r="Q7" s="25">
        <v>0</v>
      </c>
      <c r="R7" s="25">
        <v>0</v>
      </c>
      <c r="S7" s="12">
        <f t="shared" ref="S7:S69" si="0">+Q7*R7</f>
        <v>0</v>
      </c>
      <c r="T7" s="5">
        <v>0</v>
      </c>
      <c r="U7" s="12">
        <f t="shared" ref="U7:U69" si="1">S7*(1-T7)</f>
        <v>0</v>
      </c>
      <c r="V7" s="25" t="s">
        <v>10</v>
      </c>
      <c r="W7" s="11">
        <f>IFERROR(VLOOKUP(V7,Curr!$B$2:$C$13,2,FALSE),0)</f>
        <v>10.8</v>
      </c>
      <c r="X7" s="12">
        <f t="shared" ref="X7:X69" si="2">U7*W7</f>
        <v>0</v>
      </c>
      <c r="Y7" s="26">
        <f t="shared" ref="Y7:Y8" si="3">Q7</f>
        <v>0</v>
      </c>
      <c r="Z7" s="12">
        <f t="shared" ref="Z7:Z69" si="4">+Y7*R7</f>
        <v>0</v>
      </c>
      <c r="AA7" s="4" t="s">
        <v>10</v>
      </c>
      <c r="AB7" s="11">
        <f>IFERROR(VLOOKUP(AA7,Curr!$B$2:$C$13,2,FALSE),0)</f>
        <v>10.8</v>
      </c>
      <c r="AC7" s="12">
        <f t="shared" ref="AC7:AC69" si="5">+Y7*AB7*R7</f>
        <v>0</v>
      </c>
      <c r="AD7" s="12">
        <f t="shared" ref="AD7:AD69" si="6">+AC7-X7</f>
        <v>0</v>
      </c>
      <c r="AE7" s="13">
        <f t="shared" ref="AE7:AE69" si="7">IFERROR(AD7/AC7,0)</f>
        <v>0</v>
      </c>
    </row>
    <row r="8" spans="2:36" hidden="1" x14ac:dyDescent="0.25">
      <c r="B8" s="4"/>
      <c r="C8" s="1" t="s">
        <v>47</v>
      </c>
      <c r="D8" s="1" t="s">
        <v>180</v>
      </c>
      <c r="E8" s="3" t="s">
        <v>77</v>
      </c>
      <c r="F8" s="3"/>
      <c r="G8" s="24"/>
      <c r="H8" s="24"/>
      <c r="J8" s="1" t="s">
        <v>181</v>
      </c>
      <c r="K8" s="4"/>
      <c r="L8" s="4"/>
      <c r="M8" s="4"/>
      <c r="N8" s="4"/>
      <c r="O8" s="4"/>
      <c r="P8" s="33"/>
      <c r="Q8" s="25">
        <v>160</v>
      </c>
      <c r="R8" s="25">
        <v>1</v>
      </c>
      <c r="S8" s="12">
        <f t="shared" si="0"/>
        <v>160</v>
      </c>
      <c r="T8" s="5">
        <v>0.2</v>
      </c>
      <c r="U8" s="12">
        <f t="shared" si="1"/>
        <v>128</v>
      </c>
      <c r="V8" s="25" t="s">
        <v>10</v>
      </c>
      <c r="W8" s="11">
        <f>IFERROR(VLOOKUP(V8,Curr!$B$2:$C$13,2,FALSE),0)</f>
        <v>10.8</v>
      </c>
      <c r="X8" s="12">
        <f t="shared" si="2"/>
        <v>1382.4</v>
      </c>
      <c r="Y8" s="26">
        <f t="shared" si="3"/>
        <v>160</v>
      </c>
      <c r="Z8" s="12">
        <f t="shared" si="4"/>
        <v>160</v>
      </c>
      <c r="AA8" s="4" t="s">
        <v>10</v>
      </c>
      <c r="AB8" s="11">
        <f>IFERROR(VLOOKUP(AA8,Curr!$B$2:$C$13,2,FALSE),0)</f>
        <v>10.8</v>
      </c>
      <c r="AC8" s="12">
        <f t="shared" si="5"/>
        <v>1728</v>
      </c>
      <c r="AD8" s="12">
        <f t="shared" si="6"/>
        <v>345.59999999999991</v>
      </c>
      <c r="AE8" s="13">
        <f t="shared" si="7"/>
        <v>0.19999999999999996</v>
      </c>
    </row>
    <row r="9" spans="2:36" x14ac:dyDescent="0.25">
      <c r="B9" s="4"/>
      <c r="C9" s="1" t="s">
        <v>47</v>
      </c>
      <c r="D9" s="1" t="s">
        <v>50</v>
      </c>
      <c r="E9" s="3" t="s">
        <v>77</v>
      </c>
      <c r="F9" s="3" t="s">
        <v>79</v>
      </c>
      <c r="G9" s="24"/>
      <c r="H9" s="24"/>
      <c r="J9" s="1" t="s">
        <v>260</v>
      </c>
      <c r="K9" s="4"/>
      <c r="L9" s="4"/>
      <c r="M9" s="4" t="s">
        <v>265</v>
      </c>
      <c r="N9" s="4"/>
      <c r="O9" s="4"/>
      <c r="P9" s="33" t="s">
        <v>261</v>
      </c>
      <c r="Q9" s="25">
        <v>3382</v>
      </c>
      <c r="R9" s="25">
        <v>1</v>
      </c>
      <c r="S9" s="12">
        <f t="shared" si="0"/>
        <v>3382</v>
      </c>
      <c r="T9" s="5">
        <v>0</v>
      </c>
      <c r="U9" s="12">
        <f t="shared" si="1"/>
        <v>3382</v>
      </c>
      <c r="V9" s="25" t="s">
        <v>10</v>
      </c>
      <c r="W9" s="11">
        <f>IFERROR(VLOOKUP(V9,Curr!$B$2:$C$13,2,FALSE),0)</f>
        <v>10.8</v>
      </c>
      <c r="X9" s="12">
        <f t="shared" si="2"/>
        <v>36525.600000000006</v>
      </c>
      <c r="Y9" s="26">
        <f>Q9/0.8</f>
        <v>4227.5</v>
      </c>
      <c r="Z9" s="12">
        <f t="shared" si="4"/>
        <v>4227.5</v>
      </c>
      <c r="AA9" s="4" t="s">
        <v>10</v>
      </c>
      <c r="AB9" s="11">
        <f>IFERROR(VLOOKUP(AA9,Curr!$B$2:$C$13,2,FALSE),0)</f>
        <v>10.8</v>
      </c>
      <c r="AC9" s="12">
        <f t="shared" si="5"/>
        <v>45657</v>
      </c>
      <c r="AD9" s="12">
        <f t="shared" si="6"/>
        <v>9131.3999999999942</v>
      </c>
      <c r="AE9" s="13">
        <f t="shared" si="7"/>
        <v>0.19999999999999987</v>
      </c>
    </row>
    <row r="10" spans="2:36" hidden="1" x14ac:dyDescent="0.25">
      <c r="B10" s="4"/>
      <c r="C10" s="1" t="s">
        <v>47</v>
      </c>
      <c r="D10" s="1" t="s">
        <v>51</v>
      </c>
      <c r="E10" s="3" t="s">
        <v>77</v>
      </c>
      <c r="F10" s="3"/>
      <c r="G10" s="24"/>
      <c r="H10" s="24"/>
      <c r="J10" s="1" t="s">
        <v>53</v>
      </c>
      <c r="K10" s="4"/>
      <c r="L10" s="4"/>
      <c r="M10" s="4"/>
      <c r="N10" s="4"/>
      <c r="O10" s="4"/>
      <c r="P10" s="33"/>
      <c r="Q10" s="25">
        <v>0</v>
      </c>
      <c r="R10" s="25">
        <v>0</v>
      </c>
      <c r="S10" s="12">
        <f t="shared" si="0"/>
        <v>0</v>
      </c>
      <c r="T10" s="5">
        <v>0</v>
      </c>
      <c r="U10" s="12">
        <f t="shared" si="1"/>
        <v>0</v>
      </c>
      <c r="V10" s="25" t="s">
        <v>10</v>
      </c>
      <c r="W10" s="11">
        <f>IFERROR(VLOOKUP(V10,Curr!$B$2:$C$13,2,FALSE),0)</f>
        <v>10.8</v>
      </c>
      <c r="X10" s="12">
        <f t="shared" si="2"/>
        <v>0</v>
      </c>
      <c r="Y10" s="26">
        <f t="shared" ref="Y10:Y35" si="8">Q10</f>
        <v>0</v>
      </c>
      <c r="Z10" s="12">
        <f t="shared" si="4"/>
        <v>0</v>
      </c>
      <c r="AA10" s="4" t="s">
        <v>10</v>
      </c>
      <c r="AB10" s="11">
        <f>IFERROR(VLOOKUP(AA10,Curr!$B$2:$C$13,2,FALSE),0)</f>
        <v>10.8</v>
      </c>
      <c r="AC10" s="12">
        <f t="shared" si="5"/>
        <v>0</v>
      </c>
      <c r="AD10" s="12">
        <f t="shared" si="6"/>
        <v>0</v>
      </c>
      <c r="AE10" s="13">
        <f t="shared" si="7"/>
        <v>0</v>
      </c>
    </row>
    <row r="11" spans="2:36" hidden="1" x14ac:dyDescent="0.25">
      <c r="B11" s="4"/>
      <c r="C11" s="1" t="s">
        <v>47</v>
      </c>
      <c r="D11" s="1" t="s">
        <v>56</v>
      </c>
      <c r="E11" s="3" t="s">
        <v>77</v>
      </c>
      <c r="F11" s="3"/>
      <c r="G11" s="24"/>
      <c r="H11" s="24"/>
      <c r="J11" s="1" t="s">
        <v>150</v>
      </c>
      <c r="K11" s="4"/>
      <c r="L11" s="4"/>
      <c r="M11" s="4"/>
      <c r="N11" s="4"/>
      <c r="O11" s="4"/>
      <c r="P11" s="33" t="s">
        <v>73</v>
      </c>
      <c r="Q11" s="25">
        <v>127</v>
      </c>
      <c r="R11" s="25">
        <v>4</v>
      </c>
      <c r="S11" s="12">
        <f t="shared" si="0"/>
        <v>508</v>
      </c>
      <c r="T11" s="5">
        <v>0.25</v>
      </c>
      <c r="U11" s="12">
        <f t="shared" si="1"/>
        <v>381</v>
      </c>
      <c r="V11" s="25" t="s">
        <v>10</v>
      </c>
      <c r="W11" s="11">
        <f>IFERROR(VLOOKUP(V11,Curr!$B$2:$C$13,2,FALSE),0)</f>
        <v>10.8</v>
      </c>
      <c r="X11" s="12">
        <f t="shared" si="2"/>
        <v>4114.8</v>
      </c>
      <c r="Y11" s="26">
        <f t="shared" si="8"/>
        <v>127</v>
      </c>
      <c r="Z11" s="12">
        <f t="shared" si="4"/>
        <v>508</v>
      </c>
      <c r="AA11" s="4" t="s">
        <v>10</v>
      </c>
      <c r="AB11" s="11">
        <f>IFERROR(VLOOKUP(AA11,Curr!$B$2:$C$13,2,FALSE),0)</f>
        <v>10.8</v>
      </c>
      <c r="AC11" s="12">
        <f t="shared" si="5"/>
        <v>5486.4000000000005</v>
      </c>
      <c r="AD11" s="12">
        <f t="shared" si="6"/>
        <v>1371.6000000000004</v>
      </c>
      <c r="AE11" s="13">
        <f t="shared" si="7"/>
        <v>0.25000000000000006</v>
      </c>
    </row>
    <row r="12" spans="2:36" hidden="1" x14ac:dyDescent="0.25">
      <c r="B12" s="4"/>
      <c r="E12" s="3"/>
      <c r="F12" s="3"/>
      <c r="G12" s="24"/>
      <c r="H12" s="24"/>
      <c r="K12" s="4"/>
      <c r="L12" s="4"/>
      <c r="M12" s="4"/>
      <c r="N12" s="4"/>
      <c r="O12" s="4"/>
      <c r="P12" s="33"/>
      <c r="Q12" s="25"/>
      <c r="R12" s="25"/>
      <c r="S12" s="12">
        <f t="shared" si="0"/>
        <v>0</v>
      </c>
      <c r="T12" s="5">
        <v>0</v>
      </c>
      <c r="U12" s="12">
        <f t="shared" si="1"/>
        <v>0</v>
      </c>
      <c r="V12" s="25" t="s">
        <v>10</v>
      </c>
      <c r="W12" s="11">
        <f>IFERROR(VLOOKUP(V12,Curr!$B$2:$C$13,2,FALSE),0)</f>
        <v>10.8</v>
      </c>
      <c r="X12" s="12">
        <f t="shared" si="2"/>
        <v>0</v>
      </c>
      <c r="Y12" s="26">
        <f t="shared" si="8"/>
        <v>0</v>
      </c>
      <c r="Z12" s="12">
        <f t="shared" si="4"/>
        <v>0</v>
      </c>
      <c r="AA12" s="4" t="s">
        <v>10</v>
      </c>
      <c r="AB12" s="11">
        <f>IFERROR(VLOOKUP(AA12,Curr!$B$2:$C$13,2,FALSE),0)</f>
        <v>10.8</v>
      </c>
      <c r="AC12" s="12">
        <f t="shared" si="5"/>
        <v>0</v>
      </c>
      <c r="AD12" s="12">
        <f t="shared" si="6"/>
        <v>0</v>
      </c>
      <c r="AE12" s="13">
        <f t="shared" si="7"/>
        <v>0</v>
      </c>
    </row>
    <row r="13" spans="2:36" hidden="1" x14ac:dyDescent="0.25">
      <c r="B13" s="4"/>
      <c r="C13" s="1" t="s">
        <v>55</v>
      </c>
      <c r="D13" s="1" t="s">
        <v>49</v>
      </c>
      <c r="E13" s="3" t="s">
        <v>79</v>
      </c>
      <c r="F13" s="3"/>
      <c r="G13" s="24"/>
      <c r="H13" s="24"/>
      <c r="J13" s="1" t="s">
        <v>250</v>
      </c>
      <c r="K13" s="4"/>
      <c r="L13" s="4"/>
      <c r="M13" s="4"/>
      <c r="N13" s="4"/>
      <c r="O13" s="4"/>
      <c r="P13" s="33"/>
      <c r="Q13" s="25">
        <v>0</v>
      </c>
      <c r="R13" s="25">
        <v>0</v>
      </c>
      <c r="S13" s="12">
        <f t="shared" si="0"/>
        <v>0</v>
      </c>
      <c r="T13" s="5">
        <v>0</v>
      </c>
      <c r="U13" s="12">
        <f t="shared" si="1"/>
        <v>0</v>
      </c>
      <c r="V13" s="25" t="s">
        <v>10</v>
      </c>
      <c r="W13" s="11">
        <f>IFERROR(VLOOKUP(V13,Curr!$B$2:$C$13,2,FALSE),0)</f>
        <v>10.8</v>
      </c>
      <c r="X13" s="12">
        <f t="shared" si="2"/>
        <v>0</v>
      </c>
      <c r="Y13" s="26">
        <f t="shared" si="8"/>
        <v>0</v>
      </c>
      <c r="Z13" s="12">
        <f t="shared" si="4"/>
        <v>0</v>
      </c>
      <c r="AA13" s="4" t="s">
        <v>10</v>
      </c>
      <c r="AB13" s="11">
        <f>IFERROR(VLOOKUP(AA13,Curr!$B$2:$C$13,2,FALSE),0)</f>
        <v>10.8</v>
      </c>
      <c r="AC13" s="12">
        <f t="shared" si="5"/>
        <v>0</v>
      </c>
      <c r="AD13" s="12">
        <f t="shared" si="6"/>
        <v>0</v>
      </c>
      <c r="AE13" s="13">
        <f t="shared" si="7"/>
        <v>0</v>
      </c>
    </row>
    <row r="14" spans="2:36" hidden="1" x14ac:dyDescent="0.25">
      <c r="B14" s="4"/>
      <c r="C14" s="1" t="s">
        <v>55</v>
      </c>
      <c r="D14" s="1" t="s">
        <v>74</v>
      </c>
      <c r="E14" s="3" t="s">
        <v>79</v>
      </c>
      <c r="F14" s="3" t="s">
        <v>59</v>
      </c>
      <c r="G14" s="24"/>
      <c r="H14" s="24"/>
      <c r="J14" s="1" t="s">
        <v>264</v>
      </c>
      <c r="K14" s="4"/>
      <c r="L14" s="4"/>
      <c r="M14" s="4"/>
      <c r="N14" s="4"/>
      <c r="O14" s="4"/>
      <c r="P14" s="33"/>
      <c r="Q14" s="25">
        <v>691</v>
      </c>
      <c r="R14" s="25">
        <v>1</v>
      </c>
      <c r="S14" s="12">
        <f t="shared" si="0"/>
        <v>691</v>
      </c>
      <c r="T14" s="5">
        <v>0</v>
      </c>
      <c r="U14" s="12">
        <f t="shared" si="1"/>
        <v>691</v>
      </c>
      <c r="V14" s="25" t="s">
        <v>10</v>
      </c>
      <c r="W14" s="11">
        <f>IFERROR(VLOOKUP(V14,Curr!$B$2:$C$13,2,FALSE),0)</f>
        <v>10.8</v>
      </c>
      <c r="X14" s="12">
        <f t="shared" si="2"/>
        <v>7462.8</v>
      </c>
      <c r="Y14" s="26">
        <f>Q14/0.8</f>
        <v>863.75</v>
      </c>
      <c r="Z14" s="12">
        <f t="shared" si="4"/>
        <v>863.75</v>
      </c>
      <c r="AA14" s="4" t="s">
        <v>10</v>
      </c>
      <c r="AB14" s="11">
        <f>IFERROR(VLOOKUP(AA14,Curr!$B$2:$C$13,2,FALSE),0)</f>
        <v>10.8</v>
      </c>
      <c r="AC14" s="12">
        <f t="shared" si="5"/>
        <v>9328.5</v>
      </c>
      <c r="AD14" s="12">
        <f t="shared" si="6"/>
        <v>1865.6999999999998</v>
      </c>
      <c r="AE14" s="13">
        <f t="shared" si="7"/>
        <v>0.19999999999999998</v>
      </c>
    </row>
    <row r="15" spans="2:36" hidden="1" x14ac:dyDescent="0.25">
      <c r="B15" s="4"/>
      <c r="C15" s="1" t="s">
        <v>55</v>
      </c>
      <c r="D15" s="1" t="s">
        <v>75</v>
      </c>
      <c r="E15" s="3" t="s">
        <v>79</v>
      </c>
      <c r="F15" s="3"/>
      <c r="G15" s="24"/>
      <c r="H15" s="24"/>
      <c r="J15" s="1" t="s">
        <v>249</v>
      </c>
      <c r="K15" s="4"/>
      <c r="L15" s="4"/>
      <c r="M15" s="4"/>
      <c r="N15" s="4"/>
      <c r="O15" s="4"/>
      <c r="P15" s="33"/>
      <c r="Q15" s="25">
        <v>0</v>
      </c>
      <c r="R15" s="25">
        <v>0</v>
      </c>
      <c r="S15" s="12">
        <f t="shared" ref="S15:S20" si="9">+Q15*R15</f>
        <v>0</v>
      </c>
      <c r="T15" s="5">
        <v>0</v>
      </c>
      <c r="U15" s="12">
        <f t="shared" ref="U15:U20" si="10">S15*(1-T15)</f>
        <v>0</v>
      </c>
      <c r="V15" s="25" t="s">
        <v>10</v>
      </c>
      <c r="W15" s="11">
        <f>IFERROR(VLOOKUP(V15,Curr!$B$2:$C$13,2,FALSE),0)</f>
        <v>10.8</v>
      </c>
      <c r="X15" s="12">
        <f t="shared" ref="X15:X20" si="11">U15*W15</f>
        <v>0</v>
      </c>
      <c r="Y15" s="26">
        <f t="shared" ref="Y15:Y19" si="12">Q15</f>
        <v>0</v>
      </c>
      <c r="Z15" s="12">
        <f t="shared" ref="Z15:Z20" si="13">+Y15*R15</f>
        <v>0</v>
      </c>
      <c r="AA15" s="4" t="s">
        <v>10</v>
      </c>
      <c r="AB15" s="11">
        <f>IFERROR(VLOOKUP(AA15,Curr!$B$2:$C$13,2,FALSE),0)</f>
        <v>10.8</v>
      </c>
      <c r="AC15" s="12">
        <f t="shared" ref="AC15:AC20" si="14">+Y15*AB15*R15</f>
        <v>0</v>
      </c>
      <c r="AD15" s="12">
        <f t="shared" ref="AD15:AD20" si="15">+AC15-X15</f>
        <v>0</v>
      </c>
      <c r="AE15" s="13">
        <f t="shared" ref="AE15:AE20" si="16">IFERROR(AD15/AC15,0)</f>
        <v>0</v>
      </c>
    </row>
    <row r="16" spans="2:36" x14ac:dyDescent="0.25">
      <c r="B16" s="4"/>
      <c r="C16" s="1" t="s">
        <v>55</v>
      </c>
      <c r="D16" s="1" t="s">
        <v>50</v>
      </c>
      <c r="E16" s="3" t="s">
        <v>79</v>
      </c>
      <c r="F16" s="3" t="s">
        <v>82</v>
      </c>
      <c r="G16" s="24"/>
      <c r="H16" s="24"/>
      <c r="J16" s="1" t="s">
        <v>248</v>
      </c>
      <c r="K16" s="4"/>
      <c r="L16" s="4"/>
      <c r="M16" s="4" t="s">
        <v>265</v>
      </c>
      <c r="N16" s="4"/>
      <c r="O16" s="4"/>
      <c r="P16" s="33" t="s">
        <v>253</v>
      </c>
      <c r="Q16" s="25">
        <v>1839</v>
      </c>
      <c r="R16" s="25">
        <v>1</v>
      </c>
      <c r="S16" s="12">
        <f t="shared" si="9"/>
        <v>1839</v>
      </c>
      <c r="T16" s="5">
        <v>0</v>
      </c>
      <c r="U16" s="12">
        <f t="shared" si="10"/>
        <v>1839</v>
      </c>
      <c r="V16" s="25" t="s">
        <v>10</v>
      </c>
      <c r="W16" s="11">
        <f>IFERROR(VLOOKUP(V16,Curr!$B$2:$C$13,2,FALSE),0)</f>
        <v>10.8</v>
      </c>
      <c r="X16" s="12">
        <f t="shared" si="11"/>
        <v>19861.2</v>
      </c>
      <c r="Y16" s="26">
        <f>Q16/0.8</f>
        <v>2298.75</v>
      </c>
      <c r="Z16" s="12">
        <f t="shared" si="13"/>
        <v>2298.75</v>
      </c>
      <c r="AA16" s="4" t="s">
        <v>10</v>
      </c>
      <c r="AB16" s="11">
        <f>IFERROR(VLOOKUP(AA16,Curr!$B$2:$C$13,2,FALSE),0)</f>
        <v>10.8</v>
      </c>
      <c r="AC16" s="12">
        <f t="shared" si="14"/>
        <v>24826.5</v>
      </c>
      <c r="AD16" s="12">
        <f t="shared" si="15"/>
        <v>4965.2999999999993</v>
      </c>
      <c r="AE16" s="13">
        <f t="shared" si="16"/>
        <v>0.19999999999999998</v>
      </c>
    </row>
    <row r="17" spans="2:31" hidden="1" x14ac:dyDescent="0.25">
      <c r="B17" s="4"/>
      <c r="C17" s="1" t="s">
        <v>55</v>
      </c>
      <c r="D17" s="1" t="s">
        <v>56</v>
      </c>
      <c r="E17" s="3" t="s">
        <v>79</v>
      </c>
      <c r="F17" s="3"/>
      <c r="G17" s="24"/>
      <c r="H17" s="24"/>
      <c r="J17" s="1" t="s">
        <v>69</v>
      </c>
      <c r="K17" s="4"/>
      <c r="L17" s="4"/>
      <c r="M17" s="4"/>
      <c r="N17" s="4"/>
      <c r="O17" s="4"/>
      <c r="P17" s="33" t="s">
        <v>70</v>
      </c>
      <c r="Q17" s="25">
        <v>204</v>
      </c>
      <c r="R17" s="25">
        <v>4</v>
      </c>
      <c r="S17" s="12">
        <f t="shared" si="9"/>
        <v>816</v>
      </c>
      <c r="T17" s="5">
        <v>0.25</v>
      </c>
      <c r="U17" s="12">
        <f t="shared" si="10"/>
        <v>612</v>
      </c>
      <c r="V17" s="25" t="s">
        <v>10</v>
      </c>
      <c r="W17" s="11">
        <f>IFERROR(VLOOKUP(V17,Curr!$B$2:$C$13,2,FALSE),0)</f>
        <v>10.8</v>
      </c>
      <c r="X17" s="12">
        <f t="shared" si="11"/>
        <v>6609.6</v>
      </c>
      <c r="Y17" s="26">
        <f t="shared" si="12"/>
        <v>204</v>
      </c>
      <c r="Z17" s="12">
        <f t="shared" si="13"/>
        <v>816</v>
      </c>
      <c r="AA17" s="4" t="s">
        <v>10</v>
      </c>
      <c r="AB17" s="11">
        <f>IFERROR(VLOOKUP(AA17,Curr!$B$2:$C$13,2,FALSE),0)</f>
        <v>10.8</v>
      </c>
      <c r="AC17" s="12">
        <f t="shared" si="14"/>
        <v>8812.8000000000011</v>
      </c>
      <c r="AD17" s="12">
        <f t="shared" si="15"/>
        <v>2203.2000000000007</v>
      </c>
      <c r="AE17" s="13">
        <f t="shared" si="16"/>
        <v>0.25000000000000006</v>
      </c>
    </row>
    <row r="18" spans="2:31" hidden="1" x14ac:dyDescent="0.25">
      <c r="B18" s="4"/>
      <c r="E18" s="3"/>
      <c r="F18" s="3"/>
      <c r="G18" s="24"/>
      <c r="H18" s="24"/>
      <c r="K18" s="4"/>
      <c r="L18" s="4"/>
      <c r="M18" s="4"/>
      <c r="N18" s="4"/>
      <c r="O18" s="4"/>
      <c r="P18" s="33"/>
      <c r="Q18" s="25"/>
      <c r="R18" s="25"/>
      <c r="S18" s="12">
        <f t="shared" si="9"/>
        <v>0</v>
      </c>
      <c r="T18" s="5">
        <v>0</v>
      </c>
      <c r="U18" s="12">
        <f t="shared" si="10"/>
        <v>0</v>
      </c>
      <c r="V18" s="25" t="s">
        <v>10</v>
      </c>
      <c r="W18" s="11">
        <f>IFERROR(VLOOKUP(V18,Curr!$B$2:$C$13,2,FALSE),0)</f>
        <v>10.8</v>
      </c>
      <c r="X18" s="12">
        <f t="shared" si="11"/>
        <v>0</v>
      </c>
      <c r="Y18" s="26">
        <f t="shared" si="12"/>
        <v>0</v>
      </c>
      <c r="Z18" s="12">
        <f t="shared" si="13"/>
        <v>0</v>
      </c>
      <c r="AA18" s="4" t="s">
        <v>10</v>
      </c>
      <c r="AB18" s="11">
        <f>IFERROR(VLOOKUP(AA18,Curr!$B$2:$C$13,2,FALSE),0)</f>
        <v>10.8</v>
      </c>
      <c r="AC18" s="12">
        <f t="shared" si="14"/>
        <v>0</v>
      </c>
      <c r="AD18" s="12">
        <f t="shared" si="15"/>
        <v>0</v>
      </c>
      <c r="AE18" s="13">
        <f t="shared" si="16"/>
        <v>0</v>
      </c>
    </row>
    <row r="19" spans="2:31" hidden="1" x14ac:dyDescent="0.25">
      <c r="B19" s="4"/>
      <c r="C19" s="1" t="s">
        <v>57</v>
      </c>
      <c r="D19" s="1" t="s">
        <v>75</v>
      </c>
      <c r="E19" s="3" t="s">
        <v>82</v>
      </c>
      <c r="F19" s="3"/>
      <c r="G19" s="24"/>
      <c r="H19" s="24"/>
      <c r="J19" s="1" t="s">
        <v>252</v>
      </c>
      <c r="K19" s="4"/>
      <c r="L19" s="4"/>
      <c r="M19" s="4"/>
      <c r="N19" s="4"/>
      <c r="O19" s="4"/>
      <c r="P19" s="33"/>
      <c r="Q19" s="25">
        <v>0</v>
      </c>
      <c r="R19" s="25">
        <v>0</v>
      </c>
      <c r="S19" s="12">
        <f t="shared" si="9"/>
        <v>0</v>
      </c>
      <c r="T19" s="5">
        <v>0</v>
      </c>
      <c r="U19" s="12">
        <f t="shared" si="10"/>
        <v>0</v>
      </c>
      <c r="V19" s="25" t="s">
        <v>10</v>
      </c>
      <c r="W19" s="11">
        <f>IFERROR(VLOOKUP(V19,Curr!$B$2:$C$13,2,FALSE),0)</f>
        <v>10.8</v>
      </c>
      <c r="X19" s="12">
        <f t="shared" si="11"/>
        <v>0</v>
      </c>
      <c r="Y19" s="26">
        <f t="shared" si="12"/>
        <v>0</v>
      </c>
      <c r="Z19" s="12">
        <f t="shared" si="13"/>
        <v>0</v>
      </c>
      <c r="AA19" s="4" t="s">
        <v>10</v>
      </c>
      <c r="AB19" s="11">
        <f>IFERROR(VLOOKUP(AA19,Curr!$B$2:$C$13,2,FALSE),0)</f>
        <v>10.8</v>
      </c>
      <c r="AC19" s="12">
        <f t="shared" si="14"/>
        <v>0</v>
      </c>
      <c r="AD19" s="12">
        <f t="shared" si="15"/>
        <v>0</v>
      </c>
      <c r="AE19" s="13">
        <f t="shared" si="16"/>
        <v>0</v>
      </c>
    </row>
    <row r="20" spans="2:31" x14ac:dyDescent="0.25">
      <c r="B20" s="4"/>
      <c r="C20" s="1" t="s">
        <v>57</v>
      </c>
      <c r="D20" s="1" t="s">
        <v>50</v>
      </c>
      <c r="E20" s="3" t="s">
        <v>82</v>
      </c>
      <c r="F20" s="3" t="s">
        <v>91</v>
      </c>
      <c r="G20" s="24"/>
      <c r="H20" s="24"/>
      <c r="J20" s="1" t="s">
        <v>251</v>
      </c>
      <c r="K20" s="4"/>
      <c r="L20" s="4"/>
      <c r="M20" s="4" t="s">
        <v>265</v>
      </c>
      <c r="N20" s="4"/>
      <c r="O20" s="4"/>
      <c r="P20" s="33" t="s">
        <v>254</v>
      </c>
      <c r="Q20" s="25">
        <v>1389</v>
      </c>
      <c r="R20" s="25">
        <v>1</v>
      </c>
      <c r="S20" s="12">
        <f t="shared" si="9"/>
        <v>1389</v>
      </c>
      <c r="T20" s="5">
        <v>0</v>
      </c>
      <c r="U20" s="12">
        <f t="shared" si="10"/>
        <v>1389</v>
      </c>
      <c r="V20" s="25" t="s">
        <v>10</v>
      </c>
      <c r="W20" s="11">
        <f>IFERROR(VLOOKUP(V20,Curr!$B$2:$C$13,2,FALSE),0)</f>
        <v>10.8</v>
      </c>
      <c r="X20" s="12">
        <f t="shared" si="11"/>
        <v>15001.2</v>
      </c>
      <c r="Y20" s="26">
        <f>Q20/0.8</f>
        <v>1736.25</v>
      </c>
      <c r="Z20" s="12">
        <f t="shared" si="13"/>
        <v>1736.25</v>
      </c>
      <c r="AA20" s="4" t="s">
        <v>10</v>
      </c>
      <c r="AB20" s="11">
        <f>IFERROR(VLOOKUP(AA20,Curr!$B$2:$C$13,2,FALSE),0)</f>
        <v>10.8</v>
      </c>
      <c r="AC20" s="12">
        <f t="shared" si="14"/>
        <v>18751.5</v>
      </c>
      <c r="AD20" s="12">
        <f t="shared" si="15"/>
        <v>3750.2999999999993</v>
      </c>
      <c r="AE20" s="13">
        <f t="shared" si="16"/>
        <v>0.19999999999999996</v>
      </c>
    </row>
    <row r="21" spans="2:31" hidden="1" x14ac:dyDescent="0.25">
      <c r="B21" s="4"/>
      <c r="C21" s="1" t="s">
        <v>57</v>
      </c>
      <c r="D21" s="1" t="s">
        <v>51</v>
      </c>
      <c r="E21" s="3" t="s">
        <v>82</v>
      </c>
      <c r="F21" s="3"/>
      <c r="G21" s="24"/>
      <c r="H21" s="24"/>
      <c r="J21" s="1" t="s">
        <v>185</v>
      </c>
      <c r="K21" s="4"/>
      <c r="L21" s="4"/>
      <c r="M21" s="4"/>
      <c r="N21" s="4"/>
      <c r="O21" s="4"/>
      <c r="P21" s="33"/>
      <c r="Q21" s="25">
        <v>0</v>
      </c>
      <c r="R21" s="25">
        <v>0</v>
      </c>
      <c r="S21" s="12">
        <f t="shared" si="0"/>
        <v>0</v>
      </c>
      <c r="T21" s="5">
        <v>0</v>
      </c>
      <c r="U21" s="12">
        <f t="shared" si="1"/>
        <v>0</v>
      </c>
      <c r="V21" s="25" t="s">
        <v>10</v>
      </c>
      <c r="W21" s="11">
        <f>IFERROR(VLOOKUP(V21,Curr!$B$2:$C$13,2,FALSE),0)</f>
        <v>10.8</v>
      </c>
      <c r="X21" s="12">
        <f t="shared" si="2"/>
        <v>0</v>
      </c>
      <c r="Y21" s="26">
        <f t="shared" si="8"/>
        <v>0</v>
      </c>
      <c r="Z21" s="12">
        <f t="shared" si="4"/>
        <v>0</v>
      </c>
      <c r="AA21" s="4" t="s">
        <v>10</v>
      </c>
      <c r="AB21" s="11">
        <f>IFERROR(VLOOKUP(AA21,Curr!$B$2:$C$13,2,FALSE),0)</f>
        <v>10.8</v>
      </c>
      <c r="AC21" s="12">
        <f t="shared" si="5"/>
        <v>0</v>
      </c>
      <c r="AD21" s="12">
        <f t="shared" si="6"/>
        <v>0</v>
      </c>
      <c r="AE21" s="13">
        <f t="shared" si="7"/>
        <v>0</v>
      </c>
    </row>
    <row r="22" spans="2:31" hidden="1" x14ac:dyDescent="0.25">
      <c r="B22" s="4"/>
      <c r="E22" s="3"/>
      <c r="F22" s="3"/>
      <c r="G22" s="24"/>
      <c r="H22" s="24"/>
      <c r="K22" s="4"/>
      <c r="L22" s="4"/>
      <c r="M22" s="4"/>
      <c r="N22" s="4"/>
      <c r="O22" s="4"/>
      <c r="P22" s="33"/>
      <c r="Q22" s="25"/>
      <c r="R22" s="25"/>
      <c r="S22" s="12">
        <f t="shared" si="0"/>
        <v>0</v>
      </c>
      <c r="T22" s="5">
        <v>0</v>
      </c>
      <c r="U22" s="12">
        <f t="shared" si="1"/>
        <v>0</v>
      </c>
      <c r="V22" s="25" t="s">
        <v>10</v>
      </c>
      <c r="W22" s="11">
        <f>IFERROR(VLOOKUP(V22,Curr!$B$2:$C$13,2,FALSE),0)</f>
        <v>10.8</v>
      </c>
      <c r="X22" s="12">
        <f t="shared" si="2"/>
        <v>0</v>
      </c>
      <c r="Y22" s="26">
        <f t="shared" si="8"/>
        <v>0</v>
      </c>
      <c r="Z22" s="12">
        <f t="shared" si="4"/>
        <v>0</v>
      </c>
      <c r="AA22" s="4" t="s">
        <v>10</v>
      </c>
      <c r="AB22" s="11">
        <f>IFERROR(VLOOKUP(AA22,Curr!$B$2:$C$13,2,FALSE),0)</f>
        <v>10.8</v>
      </c>
      <c r="AC22" s="12">
        <f t="shared" si="5"/>
        <v>0</v>
      </c>
      <c r="AD22" s="12">
        <f t="shared" si="6"/>
        <v>0</v>
      </c>
      <c r="AE22" s="13">
        <f t="shared" si="7"/>
        <v>0</v>
      </c>
    </row>
    <row r="23" spans="2:31" hidden="1" x14ac:dyDescent="0.25">
      <c r="B23" s="4"/>
      <c r="C23" s="1" t="s">
        <v>60</v>
      </c>
      <c r="D23" s="1" t="s">
        <v>56</v>
      </c>
      <c r="E23" s="3" t="s">
        <v>83</v>
      </c>
      <c r="F23" s="3"/>
      <c r="G23" s="24"/>
      <c r="H23" s="24"/>
      <c r="J23" s="1" t="s">
        <v>255</v>
      </c>
      <c r="K23" s="4"/>
      <c r="L23" s="4"/>
      <c r="M23" s="4"/>
      <c r="N23" s="4"/>
      <c r="O23" s="4"/>
      <c r="P23" s="33"/>
      <c r="Q23" s="25">
        <v>0</v>
      </c>
      <c r="R23" s="25">
        <v>0</v>
      </c>
      <c r="S23" s="12">
        <f t="shared" si="0"/>
        <v>0</v>
      </c>
      <c r="T23" s="5">
        <v>0</v>
      </c>
      <c r="U23" s="12">
        <f t="shared" si="1"/>
        <v>0</v>
      </c>
      <c r="V23" s="25" t="s">
        <v>10</v>
      </c>
      <c r="W23" s="11">
        <f>IFERROR(VLOOKUP(V23,Curr!$B$2:$C$13,2,FALSE),0)</f>
        <v>10.8</v>
      </c>
      <c r="X23" s="12">
        <f t="shared" si="2"/>
        <v>0</v>
      </c>
      <c r="Y23" s="26">
        <f t="shared" si="8"/>
        <v>0</v>
      </c>
      <c r="Z23" s="12">
        <f t="shared" si="4"/>
        <v>0</v>
      </c>
      <c r="AA23" s="4" t="s">
        <v>10</v>
      </c>
      <c r="AB23" s="11">
        <f>IFERROR(VLOOKUP(AA23,Curr!$B$2:$C$13,2,FALSE),0)</f>
        <v>10.8</v>
      </c>
      <c r="AC23" s="12">
        <f t="shared" si="5"/>
        <v>0</v>
      </c>
      <c r="AD23" s="12">
        <f t="shared" si="6"/>
        <v>0</v>
      </c>
      <c r="AE23" s="13">
        <f t="shared" si="7"/>
        <v>0</v>
      </c>
    </row>
    <row r="24" spans="2:31" hidden="1" x14ac:dyDescent="0.25">
      <c r="B24" s="4"/>
      <c r="C24" s="1" t="s">
        <v>60</v>
      </c>
      <c r="D24" s="1" t="s">
        <v>51</v>
      </c>
      <c r="E24" s="3" t="s">
        <v>83</v>
      </c>
      <c r="F24" s="3"/>
      <c r="G24" s="24"/>
      <c r="H24" s="24"/>
      <c r="J24" s="1" t="s">
        <v>185</v>
      </c>
      <c r="K24" s="4"/>
      <c r="L24" s="4"/>
      <c r="M24" s="4"/>
      <c r="N24" s="4"/>
      <c r="O24" s="4"/>
      <c r="P24" s="33"/>
      <c r="Q24" s="25">
        <v>0</v>
      </c>
      <c r="R24" s="25">
        <v>0</v>
      </c>
      <c r="S24" s="12">
        <f t="shared" si="0"/>
        <v>0</v>
      </c>
      <c r="T24" s="5">
        <v>0</v>
      </c>
      <c r="U24" s="12">
        <f t="shared" si="1"/>
        <v>0</v>
      </c>
      <c r="V24" s="25" t="s">
        <v>10</v>
      </c>
      <c r="W24" s="11">
        <f>IFERROR(VLOOKUP(V24,Curr!$B$2:$C$13,2,FALSE),0)</f>
        <v>10.8</v>
      </c>
      <c r="X24" s="12">
        <f t="shared" si="2"/>
        <v>0</v>
      </c>
      <c r="Y24" s="26">
        <f t="shared" si="8"/>
        <v>0</v>
      </c>
      <c r="Z24" s="12">
        <f t="shared" si="4"/>
        <v>0</v>
      </c>
      <c r="AA24" s="4" t="s">
        <v>10</v>
      </c>
      <c r="AB24" s="11">
        <f>IFERROR(VLOOKUP(AA24,Curr!$B$2:$C$13,2,FALSE),0)</f>
        <v>10.8</v>
      </c>
      <c r="AC24" s="12">
        <f t="shared" si="5"/>
        <v>0</v>
      </c>
      <c r="AD24" s="12">
        <f t="shared" si="6"/>
        <v>0</v>
      </c>
      <c r="AE24" s="13">
        <f t="shared" si="7"/>
        <v>0</v>
      </c>
    </row>
    <row r="25" spans="2:31" hidden="1" x14ac:dyDescent="0.25">
      <c r="B25" s="4"/>
      <c r="E25" s="3"/>
      <c r="F25" s="3"/>
      <c r="G25" s="24"/>
      <c r="H25" s="24"/>
      <c r="K25" s="4"/>
      <c r="L25" s="4"/>
      <c r="M25" s="4"/>
      <c r="N25" s="4"/>
      <c r="O25" s="4"/>
      <c r="P25" s="33"/>
      <c r="Q25" s="25"/>
      <c r="R25" s="25"/>
      <c r="S25" s="12">
        <f t="shared" si="0"/>
        <v>0</v>
      </c>
      <c r="T25" s="5">
        <v>0</v>
      </c>
      <c r="U25" s="12">
        <f t="shared" si="1"/>
        <v>0</v>
      </c>
      <c r="V25" s="25" t="s">
        <v>10</v>
      </c>
      <c r="W25" s="11">
        <f>IFERROR(VLOOKUP(V25,Curr!$B$2:$C$13,2,FALSE),0)</f>
        <v>10.8</v>
      </c>
      <c r="X25" s="12">
        <f t="shared" si="2"/>
        <v>0</v>
      </c>
      <c r="Y25" s="26">
        <f t="shared" si="8"/>
        <v>0</v>
      </c>
      <c r="Z25" s="12">
        <f t="shared" si="4"/>
        <v>0</v>
      </c>
      <c r="AA25" s="4" t="s">
        <v>10</v>
      </c>
      <c r="AB25" s="11">
        <f>IFERROR(VLOOKUP(AA25,Curr!$B$2:$C$13,2,FALSE),0)</f>
        <v>10.8</v>
      </c>
      <c r="AC25" s="12">
        <f t="shared" si="5"/>
        <v>0</v>
      </c>
      <c r="AD25" s="12">
        <f t="shared" si="6"/>
        <v>0</v>
      </c>
      <c r="AE25" s="13">
        <f t="shared" si="7"/>
        <v>0</v>
      </c>
    </row>
    <row r="26" spans="2:31" hidden="1" x14ac:dyDescent="0.25">
      <c r="B26" s="4"/>
      <c r="C26" s="1" t="s">
        <v>62</v>
      </c>
      <c r="D26" s="1" t="s">
        <v>75</v>
      </c>
      <c r="E26" s="3" t="s">
        <v>91</v>
      </c>
      <c r="F26" s="3"/>
      <c r="G26" s="24"/>
      <c r="H26" s="24"/>
      <c r="J26" s="1" t="s">
        <v>256</v>
      </c>
      <c r="K26" s="4"/>
      <c r="L26" s="4"/>
      <c r="M26" s="4"/>
      <c r="N26" s="4"/>
      <c r="O26" s="4"/>
      <c r="P26" s="33"/>
      <c r="Q26" s="25">
        <v>0</v>
      </c>
      <c r="R26" s="25">
        <v>0</v>
      </c>
      <c r="S26" s="12">
        <f t="shared" si="0"/>
        <v>0</v>
      </c>
      <c r="T26" s="5">
        <v>0</v>
      </c>
      <c r="U26" s="12">
        <f t="shared" si="1"/>
        <v>0</v>
      </c>
      <c r="V26" s="25" t="s">
        <v>10</v>
      </c>
      <c r="W26" s="11">
        <f>IFERROR(VLOOKUP(V26,Curr!$B$2:$C$13,2,FALSE),0)</f>
        <v>10.8</v>
      </c>
      <c r="X26" s="12">
        <f t="shared" si="2"/>
        <v>0</v>
      </c>
      <c r="Y26" s="26">
        <f t="shared" si="8"/>
        <v>0</v>
      </c>
      <c r="Z26" s="12">
        <f t="shared" si="4"/>
        <v>0</v>
      </c>
      <c r="AA26" s="4" t="s">
        <v>10</v>
      </c>
      <c r="AB26" s="11">
        <f>IFERROR(VLOOKUP(AA26,Curr!$B$2:$C$13,2,FALSE),0)</f>
        <v>10.8</v>
      </c>
      <c r="AC26" s="12">
        <f t="shared" si="5"/>
        <v>0</v>
      </c>
      <c r="AD26" s="12">
        <f t="shared" si="6"/>
        <v>0</v>
      </c>
      <c r="AE26" s="13">
        <f t="shared" si="7"/>
        <v>0</v>
      </c>
    </row>
    <row r="27" spans="2:31" x14ac:dyDescent="0.25">
      <c r="B27" s="4"/>
      <c r="C27" s="1" t="s">
        <v>62</v>
      </c>
      <c r="D27" s="1" t="s">
        <v>50</v>
      </c>
      <c r="E27" s="3" t="s">
        <v>91</v>
      </c>
      <c r="F27" s="3" t="s">
        <v>59</v>
      </c>
      <c r="G27" s="24"/>
      <c r="H27" s="24"/>
      <c r="J27" s="1" t="s">
        <v>262</v>
      </c>
      <c r="K27" s="4"/>
      <c r="L27" s="4"/>
      <c r="M27" s="4" t="s">
        <v>265</v>
      </c>
      <c r="N27" s="4"/>
      <c r="O27" s="4"/>
      <c r="P27" s="33" t="s">
        <v>263</v>
      </c>
      <c r="Q27" s="25">
        <v>2245</v>
      </c>
      <c r="R27" s="25">
        <v>1</v>
      </c>
      <c r="S27" s="12">
        <f t="shared" si="0"/>
        <v>2245</v>
      </c>
      <c r="T27" s="5">
        <v>0</v>
      </c>
      <c r="U27" s="12">
        <f t="shared" si="1"/>
        <v>2245</v>
      </c>
      <c r="V27" s="25" t="s">
        <v>10</v>
      </c>
      <c r="W27" s="11">
        <f>IFERROR(VLOOKUP(V27,Curr!$B$2:$C$13,2,FALSE),0)</f>
        <v>10.8</v>
      </c>
      <c r="X27" s="12">
        <f t="shared" si="2"/>
        <v>24246</v>
      </c>
      <c r="Y27" s="26">
        <f>Q27/0.8</f>
        <v>2806.25</v>
      </c>
      <c r="Z27" s="12">
        <f t="shared" si="4"/>
        <v>2806.25</v>
      </c>
      <c r="AA27" s="4" t="s">
        <v>10</v>
      </c>
      <c r="AB27" s="11">
        <f>IFERROR(VLOOKUP(AA27,Curr!$B$2:$C$13,2,FALSE),0)</f>
        <v>10.8</v>
      </c>
      <c r="AC27" s="12">
        <f t="shared" si="5"/>
        <v>30307.500000000004</v>
      </c>
      <c r="AD27" s="12">
        <f t="shared" si="6"/>
        <v>6061.5000000000036</v>
      </c>
      <c r="AE27" s="13">
        <f t="shared" si="7"/>
        <v>0.20000000000000009</v>
      </c>
    </row>
    <row r="28" spans="2:31" hidden="1" x14ac:dyDescent="0.25">
      <c r="B28" s="4"/>
      <c r="C28" s="1" t="s">
        <v>62</v>
      </c>
      <c r="D28" s="1" t="s">
        <v>56</v>
      </c>
      <c r="E28" s="3" t="s">
        <v>91</v>
      </c>
      <c r="F28" s="3"/>
      <c r="G28" s="24"/>
      <c r="H28" s="24"/>
      <c r="J28" s="1" t="s">
        <v>257</v>
      </c>
      <c r="K28" s="4"/>
      <c r="L28" s="4"/>
      <c r="M28" s="4"/>
      <c r="N28" s="4"/>
      <c r="O28" s="4"/>
      <c r="P28" s="33"/>
      <c r="Q28" s="25">
        <v>0</v>
      </c>
      <c r="R28" s="25">
        <v>0</v>
      </c>
      <c r="S28" s="12">
        <f t="shared" si="0"/>
        <v>0</v>
      </c>
      <c r="T28" s="5">
        <v>0</v>
      </c>
      <c r="U28" s="12">
        <f t="shared" si="1"/>
        <v>0</v>
      </c>
      <c r="V28" s="25" t="s">
        <v>10</v>
      </c>
      <c r="W28" s="11">
        <f>IFERROR(VLOOKUP(V28,Curr!$B$2:$C$13,2,FALSE),0)</f>
        <v>10.8</v>
      </c>
      <c r="X28" s="12">
        <f t="shared" si="2"/>
        <v>0</v>
      </c>
      <c r="Y28" s="26">
        <f t="shared" si="8"/>
        <v>0</v>
      </c>
      <c r="Z28" s="12">
        <f t="shared" si="4"/>
        <v>0</v>
      </c>
      <c r="AA28" s="4" t="s">
        <v>10</v>
      </c>
      <c r="AB28" s="11">
        <f>IFERROR(VLOOKUP(AA28,Curr!$B$2:$C$13,2,FALSE),0)</f>
        <v>10.8</v>
      </c>
      <c r="AC28" s="12">
        <f t="shared" si="5"/>
        <v>0</v>
      </c>
      <c r="AD28" s="12">
        <f t="shared" si="6"/>
        <v>0</v>
      </c>
      <c r="AE28" s="13">
        <f t="shared" si="7"/>
        <v>0</v>
      </c>
    </row>
    <row r="29" spans="2:31" hidden="1" x14ac:dyDescent="0.25">
      <c r="B29" s="4"/>
      <c r="C29" s="1" t="s">
        <v>62</v>
      </c>
      <c r="D29" s="1" t="s">
        <v>51</v>
      </c>
      <c r="E29" s="3" t="s">
        <v>91</v>
      </c>
      <c r="F29" s="3"/>
      <c r="G29" s="24"/>
      <c r="H29" s="24"/>
      <c r="J29" s="1" t="s">
        <v>53</v>
      </c>
      <c r="K29" s="4"/>
      <c r="L29" s="4"/>
      <c r="M29" s="4"/>
      <c r="N29" s="4"/>
      <c r="O29" s="4"/>
      <c r="P29" s="33"/>
      <c r="Q29" s="25">
        <v>0</v>
      </c>
      <c r="R29" s="25">
        <v>0</v>
      </c>
      <c r="S29" s="12">
        <f t="shared" si="0"/>
        <v>0</v>
      </c>
      <c r="T29" s="5">
        <v>0</v>
      </c>
      <c r="U29" s="12">
        <f t="shared" si="1"/>
        <v>0</v>
      </c>
      <c r="V29" s="25" t="s">
        <v>10</v>
      </c>
      <c r="W29" s="11">
        <f>IFERROR(VLOOKUP(V29,Curr!$B$2:$C$13,2,FALSE),0)</f>
        <v>10.8</v>
      </c>
      <c r="X29" s="12">
        <f t="shared" si="2"/>
        <v>0</v>
      </c>
      <c r="Y29" s="26">
        <f t="shared" si="8"/>
        <v>0</v>
      </c>
      <c r="Z29" s="12">
        <f t="shared" si="4"/>
        <v>0</v>
      </c>
      <c r="AA29" s="4" t="s">
        <v>10</v>
      </c>
      <c r="AB29" s="11">
        <f>IFERROR(VLOOKUP(AA29,Curr!$B$2:$C$13,2,FALSE),0)</f>
        <v>10.8</v>
      </c>
      <c r="AC29" s="12">
        <f t="shared" si="5"/>
        <v>0</v>
      </c>
      <c r="AD29" s="12">
        <f t="shared" si="6"/>
        <v>0</v>
      </c>
      <c r="AE29" s="13">
        <f t="shared" si="7"/>
        <v>0</v>
      </c>
    </row>
    <row r="30" spans="2:31" hidden="1" x14ac:dyDescent="0.25">
      <c r="B30" s="4"/>
      <c r="E30" s="3"/>
      <c r="F30" s="3"/>
      <c r="G30" s="24"/>
      <c r="H30" s="24"/>
      <c r="K30" s="4"/>
      <c r="L30" s="4"/>
      <c r="M30" s="4"/>
      <c r="N30" s="4"/>
      <c r="O30" s="4"/>
      <c r="P30" s="33"/>
      <c r="Q30" s="25"/>
      <c r="R30" s="25"/>
      <c r="S30" s="12">
        <f t="shared" si="0"/>
        <v>0</v>
      </c>
      <c r="T30" s="5">
        <v>0</v>
      </c>
      <c r="U30" s="12">
        <f t="shared" si="1"/>
        <v>0</v>
      </c>
      <c r="V30" s="25" t="s">
        <v>10</v>
      </c>
      <c r="W30" s="11">
        <f>IFERROR(VLOOKUP(V30,Curr!$B$2:$C$13,2,FALSE),0)</f>
        <v>10.8</v>
      </c>
      <c r="X30" s="12">
        <f t="shared" si="2"/>
        <v>0</v>
      </c>
      <c r="Y30" s="26">
        <f>Q30/0.9</f>
        <v>0</v>
      </c>
      <c r="Z30" s="12">
        <f t="shared" si="4"/>
        <v>0</v>
      </c>
      <c r="AA30" s="4" t="s">
        <v>10</v>
      </c>
      <c r="AB30" s="11">
        <f>IFERROR(VLOOKUP(AA30,Curr!$B$2:$C$13,2,FALSE),0)</f>
        <v>10.8</v>
      </c>
      <c r="AC30" s="12">
        <f t="shared" si="5"/>
        <v>0</v>
      </c>
      <c r="AD30" s="12">
        <f t="shared" si="6"/>
        <v>0</v>
      </c>
      <c r="AE30" s="13">
        <f t="shared" si="7"/>
        <v>0</v>
      </c>
    </row>
    <row r="31" spans="2:31" hidden="1" x14ac:dyDescent="0.25">
      <c r="B31" s="4"/>
      <c r="C31" s="1" t="s">
        <v>65</v>
      </c>
      <c r="D31" s="1" t="s">
        <v>56</v>
      </c>
      <c r="E31" s="3" t="s">
        <v>58</v>
      </c>
      <c r="F31" s="3"/>
      <c r="G31" s="24"/>
      <c r="H31" s="24"/>
      <c r="J31" s="1" t="s">
        <v>259</v>
      </c>
      <c r="K31" s="4"/>
      <c r="L31" s="4"/>
      <c r="M31" s="4"/>
      <c r="N31" s="4"/>
      <c r="O31" s="4"/>
      <c r="P31" s="33" t="s">
        <v>258</v>
      </c>
      <c r="Q31" s="25">
        <v>139</v>
      </c>
      <c r="R31" s="25">
        <v>4</v>
      </c>
      <c r="S31" s="12">
        <f t="shared" si="0"/>
        <v>556</v>
      </c>
      <c r="T31" s="5">
        <v>0</v>
      </c>
      <c r="U31" s="12">
        <f t="shared" si="1"/>
        <v>556</v>
      </c>
      <c r="V31" s="25" t="s">
        <v>10</v>
      </c>
      <c r="W31" s="11">
        <f>IFERROR(VLOOKUP(V31,Curr!$B$2:$C$13,2,FALSE),0)</f>
        <v>10.8</v>
      </c>
      <c r="X31" s="12">
        <f t="shared" si="2"/>
        <v>6004.8</v>
      </c>
      <c r="Y31" s="26">
        <f>Q31/0.8</f>
        <v>173.75</v>
      </c>
      <c r="Z31" s="12">
        <f t="shared" si="4"/>
        <v>695</v>
      </c>
      <c r="AA31" s="4" t="s">
        <v>10</v>
      </c>
      <c r="AB31" s="11">
        <f>IFERROR(VLOOKUP(AA31,Curr!$B$2:$C$13,2,FALSE),0)</f>
        <v>10.8</v>
      </c>
      <c r="AC31" s="12">
        <f t="shared" si="5"/>
        <v>7506.0000000000009</v>
      </c>
      <c r="AD31" s="12">
        <f t="shared" si="6"/>
        <v>1501.2000000000007</v>
      </c>
      <c r="AE31" s="13">
        <f t="shared" si="7"/>
        <v>0.20000000000000007</v>
      </c>
    </row>
    <row r="32" spans="2:31" hidden="1" x14ac:dyDescent="0.25">
      <c r="B32" s="4"/>
      <c r="C32" s="1" t="s">
        <v>65</v>
      </c>
      <c r="D32" s="1" t="s">
        <v>51</v>
      </c>
      <c r="E32" s="3" t="s">
        <v>58</v>
      </c>
      <c r="F32" s="3"/>
      <c r="G32" s="24"/>
      <c r="H32" s="24"/>
      <c r="J32" s="1" t="s">
        <v>53</v>
      </c>
      <c r="K32" s="4"/>
      <c r="L32" s="4"/>
      <c r="M32" s="4"/>
      <c r="N32" s="4"/>
      <c r="O32" s="4"/>
      <c r="P32" s="33"/>
      <c r="Q32" s="25"/>
      <c r="R32" s="25"/>
      <c r="S32" s="12">
        <f t="shared" si="0"/>
        <v>0</v>
      </c>
      <c r="T32" s="5">
        <v>0</v>
      </c>
      <c r="U32" s="12">
        <f t="shared" si="1"/>
        <v>0</v>
      </c>
      <c r="V32" s="25" t="s">
        <v>10</v>
      </c>
      <c r="W32" s="11">
        <f>IFERROR(VLOOKUP(V32,Curr!$B$2:$C$13,2,FALSE),0)</f>
        <v>10.8</v>
      </c>
      <c r="X32" s="12">
        <f t="shared" si="2"/>
        <v>0</v>
      </c>
      <c r="Y32" s="26">
        <f t="shared" si="8"/>
        <v>0</v>
      </c>
      <c r="Z32" s="12">
        <f t="shared" si="4"/>
        <v>0</v>
      </c>
      <c r="AA32" s="4" t="s">
        <v>10</v>
      </c>
      <c r="AB32" s="11">
        <f>IFERROR(VLOOKUP(AA32,Curr!$B$2:$C$13,2,FALSE),0)</f>
        <v>10.8</v>
      </c>
      <c r="AC32" s="12">
        <f t="shared" si="5"/>
        <v>0</v>
      </c>
      <c r="AD32" s="12">
        <f t="shared" si="6"/>
        <v>0</v>
      </c>
      <c r="AE32" s="13">
        <f t="shared" si="7"/>
        <v>0</v>
      </c>
    </row>
    <row r="33" spans="2:31" hidden="1" x14ac:dyDescent="0.25">
      <c r="B33" s="4"/>
      <c r="E33" s="3"/>
      <c r="F33" s="3"/>
      <c r="G33" s="24"/>
      <c r="H33" s="24"/>
      <c r="K33" s="4"/>
      <c r="L33" s="4"/>
      <c r="M33" s="4"/>
      <c r="N33" s="4"/>
      <c r="O33" s="4"/>
      <c r="P33" s="33"/>
      <c r="Q33" s="25"/>
      <c r="R33" s="25"/>
      <c r="S33" s="12">
        <f t="shared" si="0"/>
        <v>0</v>
      </c>
      <c r="T33" s="5">
        <v>0</v>
      </c>
      <c r="U33" s="12">
        <f t="shared" si="1"/>
        <v>0</v>
      </c>
      <c r="V33" s="25" t="s">
        <v>10</v>
      </c>
      <c r="W33" s="11">
        <f>IFERROR(VLOOKUP(V33,Curr!$B$2:$C$13,2,FALSE),0)</f>
        <v>10.8</v>
      </c>
      <c r="X33" s="12">
        <f t="shared" si="2"/>
        <v>0</v>
      </c>
      <c r="Y33" s="26">
        <f t="shared" si="8"/>
        <v>0</v>
      </c>
      <c r="Z33" s="12">
        <f t="shared" si="4"/>
        <v>0</v>
      </c>
      <c r="AA33" s="4" t="s">
        <v>10</v>
      </c>
      <c r="AB33" s="11">
        <f>IFERROR(VLOOKUP(AA33,Curr!$B$2:$C$13,2,FALSE),0)</f>
        <v>10.8</v>
      </c>
      <c r="AC33" s="12">
        <f t="shared" si="5"/>
        <v>0</v>
      </c>
      <c r="AD33" s="12">
        <f t="shared" si="6"/>
        <v>0</v>
      </c>
      <c r="AE33" s="13">
        <f t="shared" si="7"/>
        <v>0</v>
      </c>
    </row>
    <row r="34" spans="2:31" hidden="1" x14ac:dyDescent="0.25">
      <c r="B34" s="4"/>
      <c r="C34" s="1" t="s">
        <v>66</v>
      </c>
      <c r="D34" s="1" t="s">
        <v>75</v>
      </c>
      <c r="E34" s="3" t="s">
        <v>59</v>
      </c>
      <c r="F34" s="3"/>
      <c r="G34" s="24"/>
      <c r="H34" s="24"/>
      <c r="J34" s="1" t="s">
        <v>96</v>
      </c>
      <c r="K34" s="4"/>
      <c r="L34" s="4"/>
      <c r="M34" s="4"/>
      <c r="N34" s="4"/>
      <c r="O34" s="4"/>
      <c r="P34" s="33"/>
      <c r="Q34" s="25">
        <v>0</v>
      </c>
      <c r="R34" s="25">
        <v>0</v>
      </c>
      <c r="S34" s="12">
        <f t="shared" si="0"/>
        <v>0</v>
      </c>
      <c r="T34" s="5">
        <v>0</v>
      </c>
      <c r="U34" s="12">
        <f t="shared" si="1"/>
        <v>0</v>
      </c>
      <c r="V34" s="25" t="s">
        <v>10</v>
      </c>
      <c r="W34" s="11">
        <f>IFERROR(VLOOKUP(V34,Curr!$B$2:$C$13,2,FALSE),0)</f>
        <v>10.8</v>
      </c>
      <c r="X34" s="12">
        <f t="shared" si="2"/>
        <v>0</v>
      </c>
      <c r="Y34" s="26">
        <f t="shared" si="8"/>
        <v>0</v>
      </c>
      <c r="Z34" s="12">
        <f t="shared" si="4"/>
        <v>0</v>
      </c>
      <c r="AA34" s="4" t="s">
        <v>10</v>
      </c>
      <c r="AB34" s="11">
        <f>IFERROR(VLOOKUP(AA34,Curr!$B$2:$C$13,2,FALSE),0)</f>
        <v>10.8</v>
      </c>
      <c r="AC34" s="12">
        <f t="shared" si="5"/>
        <v>0</v>
      </c>
      <c r="AD34" s="12">
        <f t="shared" si="6"/>
        <v>0</v>
      </c>
      <c r="AE34" s="13">
        <f t="shared" si="7"/>
        <v>0</v>
      </c>
    </row>
    <row r="35" spans="2:31" hidden="1" x14ac:dyDescent="0.25">
      <c r="B35" s="4"/>
      <c r="C35" s="1" t="s">
        <v>66</v>
      </c>
      <c r="D35" s="1" t="s">
        <v>74</v>
      </c>
      <c r="E35" s="3" t="s">
        <v>59</v>
      </c>
      <c r="F35" s="3"/>
      <c r="G35" s="24"/>
      <c r="H35" s="24"/>
      <c r="J35" s="1" t="s">
        <v>98</v>
      </c>
      <c r="K35" s="4"/>
      <c r="L35" s="4"/>
      <c r="M35" s="4"/>
      <c r="N35" s="4"/>
      <c r="O35" s="4"/>
      <c r="P35" s="33"/>
      <c r="Q35" s="25">
        <v>0</v>
      </c>
      <c r="R35" s="25">
        <v>0</v>
      </c>
      <c r="S35" s="12">
        <f t="shared" si="0"/>
        <v>0</v>
      </c>
      <c r="T35" s="5">
        <v>0</v>
      </c>
      <c r="U35" s="12">
        <f t="shared" si="1"/>
        <v>0</v>
      </c>
      <c r="V35" s="25" t="s">
        <v>10</v>
      </c>
      <c r="W35" s="11">
        <f>IFERROR(VLOOKUP(V35,Curr!$B$2:$C$13,2,FALSE),0)</f>
        <v>10.8</v>
      </c>
      <c r="X35" s="12">
        <f t="shared" si="2"/>
        <v>0</v>
      </c>
      <c r="Y35" s="26">
        <f t="shared" si="8"/>
        <v>0</v>
      </c>
      <c r="Z35" s="12">
        <f t="shared" si="4"/>
        <v>0</v>
      </c>
      <c r="AA35" s="4" t="s">
        <v>10</v>
      </c>
      <c r="AB35" s="11">
        <f>IFERROR(VLOOKUP(AA35,Curr!$B$2:$C$13,2,FALSE),0)</f>
        <v>10.8</v>
      </c>
      <c r="AC35" s="12">
        <f t="shared" si="5"/>
        <v>0</v>
      </c>
      <c r="AD35" s="12">
        <f t="shared" si="6"/>
        <v>0</v>
      </c>
      <c r="AE35" s="13">
        <f t="shared" si="7"/>
        <v>0</v>
      </c>
    </row>
    <row r="36" spans="2:31" hidden="1" x14ac:dyDescent="0.25">
      <c r="B36" s="4"/>
      <c r="C36" s="1" t="s">
        <v>66</v>
      </c>
      <c r="D36" s="1" t="s">
        <v>76</v>
      </c>
      <c r="E36" s="3" t="s">
        <v>59</v>
      </c>
      <c r="F36" s="3"/>
      <c r="G36" s="24"/>
      <c r="H36" s="24"/>
      <c r="J36" s="1" t="s">
        <v>153</v>
      </c>
      <c r="K36" s="4"/>
      <c r="L36" s="4"/>
      <c r="M36" s="4"/>
      <c r="N36" s="4"/>
      <c r="O36" s="4"/>
      <c r="P36" s="33" t="s">
        <v>154</v>
      </c>
      <c r="Q36" s="25">
        <v>2756</v>
      </c>
      <c r="R36" s="25">
        <v>4</v>
      </c>
      <c r="S36" s="12">
        <f t="shared" si="0"/>
        <v>11024</v>
      </c>
      <c r="T36" s="5">
        <v>0</v>
      </c>
      <c r="U36" s="12">
        <f t="shared" si="1"/>
        <v>11024</v>
      </c>
      <c r="V36" s="25" t="s">
        <v>8</v>
      </c>
      <c r="W36" s="11">
        <f>IFERROR(VLOOKUP(V36,Curr!$B$2:$C$13,2,FALSE),0)</f>
        <v>1</v>
      </c>
      <c r="X36" s="12">
        <f t="shared" si="2"/>
        <v>11024</v>
      </c>
      <c r="Y36" s="26">
        <f>Q36/11/0.8</f>
        <v>313.18181818181813</v>
      </c>
      <c r="Z36" s="12">
        <f t="shared" si="4"/>
        <v>1252.7272727272725</v>
      </c>
      <c r="AA36" s="4" t="s">
        <v>10</v>
      </c>
      <c r="AB36" s="11">
        <f>IFERROR(VLOOKUP(AA36,Curr!$B$2:$C$13,2,FALSE),0)</f>
        <v>10.8</v>
      </c>
      <c r="AC36" s="12">
        <f t="shared" si="5"/>
        <v>13529.454545454544</v>
      </c>
      <c r="AD36" s="12">
        <f t="shared" si="6"/>
        <v>2505.4545454545441</v>
      </c>
      <c r="AE36" s="13">
        <f t="shared" si="7"/>
        <v>0.18518518518518512</v>
      </c>
    </row>
    <row r="37" spans="2:31" hidden="1" x14ac:dyDescent="0.25">
      <c r="B37" s="4"/>
      <c r="C37" s="1" t="s">
        <v>66</v>
      </c>
      <c r="D37" s="1" t="s">
        <v>49</v>
      </c>
      <c r="E37" s="3" t="s">
        <v>59</v>
      </c>
      <c r="F37" s="3"/>
      <c r="G37" s="24"/>
      <c r="H37" s="24"/>
      <c r="J37" s="1" t="s">
        <v>100</v>
      </c>
      <c r="K37" s="4"/>
      <c r="L37" s="4"/>
      <c r="M37" s="4"/>
      <c r="N37" s="4"/>
      <c r="O37" s="4"/>
      <c r="P37" s="33"/>
      <c r="Q37" s="25">
        <v>1900</v>
      </c>
      <c r="R37" s="25">
        <v>1</v>
      </c>
      <c r="S37" s="12">
        <f t="shared" si="0"/>
        <v>1900</v>
      </c>
      <c r="T37" s="5">
        <v>0</v>
      </c>
      <c r="U37" s="12">
        <f t="shared" si="1"/>
        <v>1900</v>
      </c>
      <c r="V37" s="25" t="s">
        <v>8</v>
      </c>
      <c r="W37" s="11">
        <f>IFERROR(VLOOKUP(V37,Curr!$B$2:$C$13,2,FALSE),0)</f>
        <v>1</v>
      </c>
      <c r="X37" s="12">
        <f t="shared" si="2"/>
        <v>1900</v>
      </c>
      <c r="Y37" s="26">
        <f>Q37/11/0.8</f>
        <v>215.90909090909088</v>
      </c>
      <c r="Z37" s="12">
        <f t="shared" si="4"/>
        <v>215.90909090909088</v>
      </c>
      <c r="AA37" s="4" t="s">
        <v>10</v>
      </c>
      <c r="AB37" s="11">
        <f>IFERROR(VLOOKUP(AA37,Curr!$B$2:$C$13,2,FALSE),0)</f>
        <v>10.8</v>
      </c>
      <c r="AC37" s="12">
        <f t="shared" si="5"/>
        <v>2331.8181818181815</v>
      </c>
      <c r="AD37" s="12">
        <f t="shared" si="6"/>
        <v>431.81818181818153</v>
      </c>
      <c r="AE37" s="13">
        <f t="shared" si="7"/>
        <v>0.18518518518518509</v>
      </c>
    </row>
    <row r="38" spans="2:31" x14ac:dyDescent="0.25">
      <c r="B38" s="4"/>
      <c r="C38" s="1" t="s">
        <v>66</v>
      </c>
      <c r="D38" s="1" t="s">
        <v>50</v>
      </c>
      <c r="E38" s="3" t="s">
        <v>59</v>
      </c>
      <c r="F38" s="3" t="s">
        <v>63</v>
      </c>
      <c r="G38" s="24"/>
      <c r="H38" s="24"/>
      <c r="J38" s="1" t="s">
        <v>195</v>
      </c>
      <c r="K38" s="4"/>
      <c r="L38" s="4"/>
      <c r="M38" s="4" t="s">
        <v>265</v>
      </c>
      <c r="N38" s="4"/>
      <c r="O38" s="4"/>
      <c r="P38" s="33" t="s">
        <v>196</v>
      </c>
      <c r="Q38" s="25">
        <v>2051</v>
      </c>
      <c r="R38" s="25">
        <v>1</v>
      </c>
      <c r="S38" s="12">
        <f t="shared" si="0"/>
        <v>2051</v>
      </c>
      <c r="T38" s="5">
        <v>0</v>
      </c>
      <c r="U38" s="12">
        <f t="shared" si="1"/>
        <v>2051</v>
      </c>
      <c r="V38" s="25" t="s">
        <v>10</v>
      </c>
      <c r="W38" s="11">
        <f>IFERROR(VLOOKUP(V38,Curr!$B$2:$C$13,2,FALSE),0)</f>
        <v>10.8</v>
      </c>
      <c r="X38" s="12">
        <f t="shared" si="2"/>
        <v>22150.800000000003</v>
      </c>
      <c r="Y38" s="26">
        <f>Q38/0.85</f>
        <v>2412.9411764705883</v>
      </c>
      <c r="Z38" s="12">
        <f t="shared" si="4"/>
        <v>2412.9411764705883</v>
      </c>
      <c r="AA38" s="4" t="s">
        <v>10</v>
      </c>
      <c r="AB38" s="11">
        <f>IFERROR(VLOOKUP(AA38,Curr!$B$2:$C$13,2,FALSE),0)</f>
        <v>10.8</v>
      </c>
      <c r="AC38" s="12">
        <f t="shared" si="5"/>
        <v>26059.764705882357</v>
      </c>
      <c r="AD38" s="12">
        <f t="shared" si="6"/>
        <v>3908.9647058823539</v>
      </c>
      <c r="AE38" s="13">
        <f t="shared" si="7"/>
        <v>0.15000000000000002</v>
      </c>
    </row>
    <row r="39" spans="2:31" hidden="1" x14ac:dyDescent="0.25">
      <c r="B39" s="4"/>
      <c r="C39" s="1" t="s">
        <v>66</v>
      </c>
      <c r="D39" s="1" t="s">
        <v>51</v>
      </c>
      <c r="E39" s="3" t="s">
        <v>59</v>
      </c>
      <c r="F39" s="3"/>
      <c r="G39" s="24"/>
      <c r="H39" s="24"/>
      <c r="J39" s="1" t="s">
        <v>102</v>
      </c>
      <c r="K39" s="4"/>
      <c r="L39" s="4"/>
      <c r="M39" s="4"/>
      <c r="N39" s="4"/>
      <c r="O39" s="4"/>
      <c r="P39" s="33"/>
      <c r="Q39" s="25">
        <v>0</v>
      </c>
      <c r="R39" s="25">
        <v>0</v>
      </c>
      <c r="S39" s="12">
        <f t="shared" si="0"/>
        <v>0</v>
      </c>
      <c r="T39" s="5">
        <v>0</v>
      </c>
      <c r="U39" s="12">
        <f t="shared" si="1"/>
        <v>0</v>
      </c>
      <c r="V39" s="25" t="s">
        <v>10</v>
      </c>
      <c r="W39" s="11">
        <f>IFERROR(VLOOKUP(V39,Curr!$B$2:$C$13,2,FALSE),0)</f>
        <v>10.8</v>
      </c>
      <c r="X39" s="12">
        <f t="shared" si="2"/>
        <v>0</v>
      </c>
      <c r="Y39" s="26">
        <f t="shared" ref="Y39:Y82" si="17">Q39</f>
        <v>0</v>
      </c>
      <c r="Z39" s="12">
        <f t="shared" si="4"/>
        <v>0</v>
      </c>
      <c r="AA39" s="4" t="s">
        <v>10</v>
      </c>
      <c r="AB39" s="11">
        <f>IFERROR(VLOOKUP(AA39,Curr!$B$2:$C$13,2,FALSE),0)</f>
        <v>10.8</v>
      </c>
      <c r="AC39" s="12">
        <f t="shared" si="5"/>
        <v>0</v>
      </c>
      <c r="AD39" s="12">
        <f t="shared" si="6"/>
        <v>0</v>
      </c>
      <c r="AE39" s="13">
        <f t="shared" si="7"/>
        <v>0</v>
      </c>
    </row>
    <row r="40" spans="2:31" hidden="1" x14ac:dyDescent="0.25">
      <c r="B40" s="4"/>
      <c r="E40" s="3"/>
      <c r="F40" s="3"/>
      <c r="G40" s="24"/>
      <c r="H40" s="24"/>
      <c r="K40" s="4"/>
      <c r="L40" s="4"/>
      <c r="M40" s="4"/>
      <c r="N40" s="4"/>
      <c r="O40" s="4"/>
      <c r="P40" s="27"/>
      <c r="Q40" s="25"/>
      <c r="R40" s="25"/>
      <c r="S40" s="12">
        <f t="shared" si="0"/>
        <v>0</v>
      </c>
      <c r="T40" s="5">
        <v>0</v>
      </c>
      <c r="U40" s="12">
        <f t="shared" si="1"/>
        <v>0</v>
      </c>
      <c r="V40" s="25" t="s">
        <v>10</v>
      </c>
      <c r="W40" s="11">
        <f>IFERROR(VLOOKUP(V40,Curr!$B$2:$C$13,2,FALSE),0)</f>
        <v>10.8</v>
      </c>
      <c r="X40" s="12">
        <f t="shared" si="2"/>
        <v>0</v>
      </c>
      <c r="Y40" s="26">
        <f t="shared" si="17"/>
        <v>0</v>
      </c>
      <c r="Z40" s="12">
        <f t="shared" si="4"/>
        <v>0</v>
      </c>
      <c r="AA40" s="4" t="s">
        <v>10</v>
      </c>
      <c r="AB40" s="11">
        <f>IFERROR(VLOOKUP(AA40,Curr!$B$2:$C$13,2,FALSE),0)</f>
        <v>10.8</v>
      </c>
      <c r="AC40" s="12">
        <f t="shared" si="5"/>
        <v>0</v>
      </c>
      <c r="AD40" s="12">
        <f t="shared" si="6"/>
        <v>0</v>
      </c>
      <c r="AE40" s="13">
        <f t="shared" si="7"/>
        <v>0</v>
      </c>
    </row>
    <row r="41" spans="2:31" hidden="1" x14ac:dyDescent="0.25">
      <c r="B41" s="4"/>
      <c r="C41" s="1" t="s">
        <v>103</v>
      </c>
      <c r="D41" s="1" t="s">
        <v>56</v>
      </c>
      <c r="E41" s="3" t="s">
        <v>61</v>
      </c>
      <c r="F41" s="3"/>
      <c r="G41" s="24"/>
      <c r="H41" s="24"/>
      <c r="J41" s="1" t="s">
        <v>157</v>
      </c>
      <c r="K41" s="4"/>
      <c r="L41" s="4"/>
      <c r="M41" s="4"/>
      <c r="N41" s="4"/>
      <c r="O41" s="4"/>
      <c r="P41" s="33" t="s">
        <v>158</v>
      </c>
      <c r="Q41" s="25">
        <v>40</v>
      </c>
      <c r="R41" s="25">
        <v>4</v>
      </c>
      <c r="S41" s="12">
        <f t="shared" si="0"/>
        <v>160</v>
      </c>
      <c r="T41" s="5">
        <v>0.2</v>
      </c>
      <c r="U41" s="12">
        <f t="shared" si="1"/>
        <v>128</v>
      </c>
      <c r="V41" s="25" t="s">
        <v>10</v>
      </c>
      <c r="W41" s="11">
        <f>IFERROR(VLOOKUP(V41,Curr!$B$2:$C$13,2,FALSE),0)</f>
        <v>10.8</v>
      </c>
      <c r="X41" s="12">
        <f t="shared" si="2"/>
        <v>1382.4</v>
      </c>
      <c r="Y41" s="26">
        <f t="shared" si="17"/>
        <v>40</v>
      </c>
      <c r="Z41" s="12">
        <f t="shared" si="4"/>
        <v>160</v>
      </c>
      <c r="AA41" s="4" t="s">
        <v>10</v>
      </c>
      <c r="AB41" s="11">
        <f>IFERROR(VLOOKUP(AA41,Curr!$B$2:$C$13,2,FALSE),0)</f>
        <v>10.8</v>
      </c>
      <c r="AC41" s="12">
        <f t="shared" si="5"/>
        <v>1728</v>
      </c>
      <c r="AD41" s="12">
        <f t="shared" si="6"/>
        <v>345.59999999999991</v>
      </c>
      <c r="AE41" s="13">
        <f t="shared" si="7"/>
        <v>0.19999999999999996</v>
      </c>
    </row>
    <row r="42" spans="2:31" hidden="1" x14ac:dyDescent="0.25">
      <c r="B42" s="4"/>
      <c r="C42" s="1" t="s">
        <v>103</v>
      </c>
      <c r="D42" s="1" t="s">
        <v>51</v>
      </c>
      <c r="E42" s="3" t="s">
        <v>61</v>
      </c>
      <c r="F42" s="3"/>
      <c r="G42" s="24"/>
      <c r="H42" s="24"/>
      <c r="J42" s="1" t="s">
        <v>102</v>
      </c>
      <c r="K42" s="4"/>
      <c r="L42" s="4"/>
      <c r="M42" s="4"/>
      <c r="N42" s="4"/>
      <c r="O42" s="4"/>
      <c r="P42" s="33"/>
      <c r="Q42" s="25">
        <v>0</v>
      </c>
      <c r="R42" s="25">
        <v>0</v>
      </c>
      <c r="S42" s="12">
        <f t="shared" si="0"/>
        <v>0</v>
      </c>
      <c r="T42" s="5">
        <v>0</v>
      </c>
      <c r="U42" s="12">
        <f t="shared" si="1"/>
        <v>0</v>
      </c>
      <c r="V42" s="25" t="s">
        <v>10</v>
      </c>
      <c r="W42" s="11">
        <f>IFERROR(VLOOKUP(V42,Curr!$B$2:$C$13,2,FALSE),0)</f>
        <v>10.8</v>
      </c>
      <c r="X42" s="12">
        <f t="shared" si="2"/>
        <v>0</v>
      </c>
      <c r="Y42" s="26">
        <f t="shared" si="17"/>
        <v>0</v>
      </c>
      <c r="Z42" s="12">
        <f t="shared" si="4"/>
        <v>0</v>
      </c>
      <c r="AA42" s="4" t="s">
        <v>10</v>
      </c>
      <c r="AB42" s="11">
        <f>IFERROR(VLOOKUP(AA42,Curr!$B$2:$C$13,2,FALSE),0)</f>
        <v>10.8</v>
      </c>
      <c r="AC42" s="12">
        <f t="shared" si="5"/>
        <v>0</v>
      </c>
      <c r="AD42" s="12">
        <f t="shared" si="6"/>
        <v>0</v>
      </c>
      <c r="AE42" s="13">
        <f t="shared" si="7"/>
        <v>0</v>
      </c>
    </row>
    <row r="43" spans="2:31" hidden="1" x14ac:dyDescent="0.25">
      <c r="B43" s="4"/>
      <c r="E43" s="3"/>
      <c r="F43" s="3"/>
      <c r="G43" s="24"/>
      <c r="H43" s="24"/>
      <c r="K43" s="4"/>
      <c r="L43" s="4"/>
      <c r="M43" s="4"/>
      <c r="N43" s="4"/>
      <c r="O43" s="4"/>
      <c r="P43" s="27"/>
      <c r="Q43" s="25"/>
      <c r="R43" s="25"/>
      <c r="S43" s="12">
        <f t="shared" si="0"/>
        <v>0</v>
      </c>
      <c r="T43" s="5">
        <v>0</v>
      </c>
      <c r="U43" s="12">
        <f t="shared" si="1"/>
        <v>0</v>
      </c>
      <c r="V43" s="25" t="s">
        <v>10</v>
      </c>
      <c r="W43" s="11">
        <f>IFERROR(VLOOKUP(V43,Curr!$B$2:$C$13,2,FALSE),0)</f>
        <v>10.8</v>
      </c>
      <c r="X43" s="12">
        <f t="shared" si="2"/>
        <v>0</v>
      </c>
      <c r="Y43" s="26">
        <f t="shared" si="17"/>
        <v>0</v>
      </c>
      <c r="Z43" s="12">
        <f t="shared" si="4"/>
        <v>0</v>
      </c>
      <c r="AA43" s="4" t="s">
        <v>10</v>
      </c>
      <c r="AB43" s="11">
        <f>IFERROR(VLOOKUP(AA43,Curr!$B$2:$C$13,2,FALSE),0)</f>
        <v>10.8</v>
      </c>
      <c r="AC43" s="12">
        <f t="shared" si="5"/>
        <v>0</v>
      </c>
      <c r="AD43" s="12">
        <f t="shared" si="6"/>
        <v>0</v>
      </c>
      <c r="AE43" s="13">
        <f t="shared" si="7"/>
        <v>0</v>
      </c>
    </row>
    <row r="44" spans="2:31" hidden="1" x14ac:dyDescent="0.25">
      <c r="B44" s="4"/>
      <c r="C44" s="1" t="s">
        <v>104</v>
      </c>
      <c r="D44" s="1" t="s">
        <v>49</v>
      </c>
      <c r="E44" s="3" t="s">
        <v>63</v>
      </c>
      <c r="F44" s="3"/>
      <c r="G44" s="24"/>
      <c r="H44" s="24"/>
      <c r="J44" s="1" t="s">
        <v>105</v>
      </c>
      <c r="K44" s="4"/>
      <c r="L44" s="4"/>
      <c r="M44" s="4"/>
      <c r="N44" s="4"/>
      <c r="O44" s="4"/>
      <c r="P44" s="33"/>
      <c r="Q44" s="25">
        <v>0</v>
      </c>
      <c r="R44" s="25">
        <v>0</v>
      </c>
      <c r="S44" s="12">
        <f t="shared" si="0"/>
        <v>0</v>
      </c>
      <c r="T44" s="5">
        <v>0</v>
      </c>
      <c r="U44" s="12">
        <f t="shared" si="1"/>
        <v>0</v>
      </c>
      <c r="V44" s="25" t="s">
        <v>10</v>
      </c>
      <c r="W44" s="11">
        <f>IFERROR(VLOOKUP(V44,Curr!$B$2:$C$13,2,FALSE),0)</f>
        <v>10.8</v>
      </c>
      <c r="X44" s="12">
        <f t="shared" si="2"/>
        <v>0</v>
      </c>
      <c r="Y44" s="26">
        <f t="shared" si="17"/>
        <v>0</v>
      </c>
      <c r="Z44" s="12">
        <f t="shared" si="4"/>
        <v>0</v>
      </c>
      <c r="AA44" s="4" t="s">
        <v>10</v>
      </c>
      <c r="AB44" s="11">
        <f>IFERROR(VLOOKUP(AA44,Curr!$B$2:$C$13,2,FALSE),0)</f>
        <v>10.8</v>
      </c>
      <c r="AC44" s="12">
        <f t="shared" si="5"/>
        <v>0</v>
      </c>
      <c r="AD44" s="12">
        <f t="shared" si="6"/>
        <v>0</v>
      </c>
      <c r="AE44" s="13">
        <f t="shared" si="7"/>
        <v>0</v>
      </c>
    </row>
    <row r="45" spans="2:31" hidden="1" x14ac:dyDescent="0.25">
      <c r="B45" s="4"/>
      <c r="C45" s="1" t="s">
        <v>104</v>
      </c>
      <c r="D45" s="1" t="s">
        <v>56</v>
      </c>
      <c r="E45" s="3" t="s">
        <v>63</v>
      </c>
      <c r="F45" s="3"/>
      <c r="G45" s="24"/>
      <c r="H45" s="24"/>
      <c r="J45" s="1" t="s">
        <v>225</v>
      </c>
      <c r="K45" s="4"/>
      <c r="L45" s="4"/>
      <c r="M45" s="4"/>
      <c r="N45" s="4"/>
      <c r="O45" s="4"/>
      <c r="P45" s="33" t="s">
        <v>160</v>
      </c>
      <c r="Q45" s="25">
        <f>3873+450</f>
        <v>4323</v>
      </c>
      <c r="R45" s="25">
        <v>4</v>
      </c>
      <c r="S45" s="12">
        <f t="shared" si="0"/>
        <v>17292</v>
      </c>
      <c r="T45" s="5">
        <v>0.12</v>
      </c>
      <c r="U45" s="12">
        <f t="shared" si="1"/>
        <v>15216.960000000001</v>
      </c>
      <c r="V45" s="25" t="s">
        <v>8</v>
      </c>
      <c r="W45" s="11">
        <f>IFERROR(VLOOKUP(V45,Curr!$B$2:$C$13,2,FALSE),0)</f>
        <v>1</v>
      </c>
      <c r="X45" s="12">
        <f t="shared" si="2"/>
        <v>15216.960000000001</v>
      </c>
      <c r="Y45" s="26">
        <f>Q45/11/0.9</f>
        <v>436.66666666666663</v>
      </c>
      <c r="Z45" s="12">
        <f t="shared" si="4"/>
        <v>1746.6666666666665</v>
      </c>
      <c r="AA45" s="4" t="s">
        <v>10</v>
      </c>
      <c r="AB45" s="11">
        <f>IFERROR(VLOOKUP(AA45,Curr!$B$2:$C$13,2,FALSE),0)</f>
        <v>10.8</v>
      </c>
      <c r="AC45" s="12">
        <f t="shared" si="5"/>
        <v>18864</v>
      </c>
      <c r="AD45" s="12">
        <f t="shared" si="6"/>
        <v>3647.0399999999991</v>
      </c>
      <c r="AE45" s="13">
        <f t="shared" si="7"/>
        <v>0.19333333333333327</v>
      </c>
    </row>
    <row r="46" spans="2:31" hidden="1" x14ac:dyDescent="0.25">
      <c r="B46" s="4"/>
      <c r="C46" s="1" t="s">
        <v>104</v>
      </c>
      <c r="D46" s="1" t="s">
        <v>49</v>
      </c>
      <c r="E46" s="3" t="s">
        <v>63</v>
      </c>
      <c r="F46" s="3"/>
      <c r="G46" s="24"/>
      <c r="H46" s="24"/>
      <c r="J46" s="1" t="s">
        <v>108</v>
      </c>
      <c r="K46" s="4"/>
      <c r="L46" s="4"/>
      <c r="M46" s="4"/>
      <c r="N46" s="4"/>
      <c r="O46" s="4"/>
      <c r="P46" s="33" t="s">
        <v>166</v>
      </c>
      <c r="Q46" s="25">
        <v>1490</v>
      </c>
      <c r="R46" s="25">
        <v>1</v>
      </c>
      <c r="S46" s="12">
        <f t="shared" si="0"/>
        <v>1490</v>
      </c>
      <c r="T46" s="5">
        <v>0.15</v>
      </c>
      <c r="U46" s="12">
        <f t="shared" si="1"/>
        <v>1266.5</v>
      </c>
      <c r="V46" s="25" t="s">
        <v>8</v>
      </c>
      <c r="W46" s="11">
        <f>IFERROR(VLOOKUP(V46,Curr!$B$2:$C$13,2,FALSE),0)</f>
        <v>1</v>
      </c>
      <c r="X46" s="12">
        <f t="shared" si="2"/>
        <v>1266.5</v>
      </c>
      <c r="Y46" s="26">
        <f>Q46/11/0.9</f>
        <v>150.50505050505052</v>
      </c>
      <c r="Z46" s="12">
        <f t="shared" si="4"/>
        <v>150.50505050505052</v>
      </c>
      <c r="AA46" s="4" t="s">
        <v>10</v>
      </c>
      <c r="AB46" s="11">
        <f>IFERROR(VLOOKUP(AA46,Curr!$B$2:$C$13,2,FALSE),0)</f>
        <v>10.8</v>
      </c>
      <c r="AC46" s="12">
        <f t="shared" si="5"/>
        <v>1625.4545454545457</v>
      </c>
      <c r="AD46" s="12">
        <f t="shared" si="6"/>
        <v>358.95454545454572</v>
      </c>
      <c r="AE46" s="13">
        <f t="shared" si="7"/>
        <v>0.22083333333333346</v>
      </c>
    </row>
    <row r="47" spans="2:31" x14ac:dyDescent="0.25">
      <c r="B47" s="4"/>
      <c r="C47" s="1" t="s">
        <v>104</v>
      </c>
      <c r="D47" s="1" t="s">
        <v>50</v>
      </c>
      <c r="E47" s="3" t="s">
        <v>63</v>
      </c>
      <c r="F47" s="3" t="s">
        <v>68</v>
      </c>
      <c r="G47" s="1"/>
      <c r="H47" s="1"/>
      <c r="J47" s="1" t="s">
        <v>198</v>
      </c>
      <c r="K47" s="4"/>
      <c r="L47" s="4"/>
      <c r="M47" s="4" t="s">
        <v>265</v>
      </c>
      <c r="N47" s="4"/>
      <c r="O47" s="4"/>
      <c r="P47" s="29" t="s">
        <v>199</v>
      </c>
      <c r="Q47" s="25">
        <v>2593</v>
      </c>
      <c r="R47" s="25">
        <v>1</v>
      </c>
      <c r="S47" s="12">
        <f t="shared" si="0"/>
        <v>2593</v>
      </c>
      <c r="T47" s="5">
        <v>0</v>
      </c>
      <c r="U47" s="12">
        <f t="shared" si="1"/>
        <v>2593</v>
      </c>
      <c r="V47" s="25" t="s">
        <v>10</v>
      </c>
      <c r="W47" s="11">
        <f>IFERROR(VLOOKUP(V47,Curr!$B$2:$C$13,2,FALSE),0)</f>
        <v>10.8</v>
      </c>
      <c r="X47" s="12">
        <f t="shared" si="2"/>
        <v>28004.400000000001</v>
      </c>
      <c r="Y47" s="26">
        <f>Q47/0.85</f>
        <v>3050.5882352941176</v>
      </c>
      <c r="Z47" s="12">
        <f t="shared" si="4"/>
        <v>3050.5882352941176</v>
      </c>
      <c r="AA47" s="4" t="s">
        <v>10</v>
      </c>
      <c r="AB47" s="11">
        <f>IFERROR(VLOOKUP(AA47,Curr!$B$2:$C$13,2,FALSE),0)</f>
        <v>10.8</v>
      </c>
      <c r="AC47" s="12">
        <f t="shared" si="5"/>
        <v>32946.352941176468</v>
      </c>
      <c r="AD47" s="12">
        <f t="shared" si="6"/>
        <v>4941.952941176467</v>
      </c>
      <c r="AE47" s="13">
        <f t="shared" si="7"/>
        <v>0.14999999999999991</v>
      </c>
    </row>
    <row r="48" spans="2:31" hidden="1" x14ac:dyDescent="0.25">
      <c r="B48" s="4"/>
      <c r="C48" s="1" t="s">
        <v>104</v>
      </c>
      <c r="D48" s="1" t="s">
        <v>51</v>
      </c>
      <c r="E48" s="3" t="s">
        <v>63</v>
      </c>
      <c r="F48" s="1"/>
      <c r="G48" s="1"/>
      <c r="H48" s="1"/>
      <c r="J48" s="1" t="s">
        <v>109</v>
      </c>
      <c r="K48" s="4"/>
      <c r="L48" s="4"/>
      <c r="M48" s="4"/>
      <c r="N48" s="4"/>
      <c r="O48" s="4"/>
      <c r="P48" s="33"/>
      <c r="Q48" s="25">
        <v>0</v>
      </c>
      <c r="R48" s="25">
        <v>0</v>
      </c>
      <c r="S48" s="12">
        <f t="shared" si="0"/>
        <v>0</v>
      </c>
      <c r="T48" s="5">
        <v>0</v>
      </c>
      <c r="U48" s="12">
        <f t="shared" si="1"/>
        <v>0</v>
      </c>
      <c r="V48" s="25" t="s">
        <v>10</v>
      </c>
      <c r="W48" s="11">
        <f>IFERROR(VLOOKUP(V48,Curr!$B$2:$C$13,2,FALSE),0)</f>
        <v>10.8</v>
      </c>
      <c r="X48" s="12">
        <f t="shared" si="2"/>
        <v>0</v>
      </c>
      <c r="Y48" s="26">
        <f t="shared" ref="Y48" si="18">Q48</f>
        <v>0</v>
      </c>
      <c r="Z48" s="12">
        <f t="shared" si="4"/>
        <v>0</v>
      </c>
      <c r="AA48" s="4" t="s">
        <v>10</v>
      </c>
      <c r="AB48" s="11">
        <f>IFERROR(VLOOKUP(AA48,Curr!$B$2:$C$13,2,FALSE),0)</f>
        <v>10.8</v>
      </c>
      <c r="AC48" s="12">
        <f t="shared" si="5"/>
        <v>0</v>
      </c>
      <c r="AD48" s="12">
        <f t="shared" si="6"/>
        <v>0</v>
      </c>
      <c r="AE48" s="13">
        <f t="shared" si="7"/>
        <v>0</v>
      </c>
    </row>
    <row r="49" spans="2:31" hidden="1" x14ac:dyDescent="0.25">
      <c r="B49" s="4"/>
      <c r="E49" s="3"/>
      <c r="F49" s="1"/>
      <c r="G49" s="1"/>
      <c r="H49" s="1"/>
      <c r="K49" s="4"/>
      <c r="L49" s="4"/>
      <c r="M49" s="4"/>
      <c r="N49" s="4"/>
      <c r="O49" s="4"/>
      <c r="P49" s="33"/>
      <c r="Q49" s="25"/>
      <c r="R49" s="25"/>
      <c r="S49" s="12">
        <f t="shared" si="0"/>
        <v>0</v>
      </c>
      <c r="T49" s="5">
        <v>0</v>
      </c>
      <c r="U49" s="12">
        <f t="shared" si="1"/>
        <v>0</v>
      </c>
      <c r="V49" s="25" t="s">
        <v>10</v>
      </c>
      <c r="W49" s="11">
        <f>IFERROR(VLOOKUP(V49,Curr!$B$2:$C$13,2,FALSE),0)</f>
        <v>10.8</v>
      </c>
      <c r="X49" s="12">
        <f t="shared" si="2"/>
        <v>0</v>
      </c>
      <c r="Y49" s="26">
        <f t="shared" si="17"/>
        <v>0</v>
      </c>
      <c r="Z49" s="12">
        <f t="shared" si="4"/>
        <v>0</v>
      </c>
      <c r="AA49" s="4" t="s">
        <v>10</v>
      </c>
      <c r="AB49" s="11">
        <f>IFERROR(VLOOKUP(AA49,Curr!$B$2:$C$13,2,FALSE),0)</f>
        <v>10.8</v>
      </c>
      <c r="AC49" s="12">
        <f t="shared" si="5"/>
        <v>0</v>
      </c>
      <c r="AD49" s="12">
        <f t="shared" si="6"/>
        <v>0</v>
      </c>
      <c r="AE49" s="13">
        <f t="shared" si="7"/>
        <v>0</v>
      </c>
    </row>
    <row r="50" spans="2:31" hidden="1" x14ac:dyDescent="0.25">
      <c r="B50" s="4"/>
      <c r="C50" s="1" t="s">
        <v>107</v>
      </c>
      <c r="D50" s="1" t="s">
        <v>56</v>
      </c>
      <c r="E50" s="3" t="s">
        <v>64</v>
      </c>
      <c r="F50" s="3"/>
      <c r="G50" s="24"/>
      <c r="H50" s="24"/>
      <c r="J50" s="1" t="s">
        <v>164</v>
      </c>
      <c r="K50" s="4"/>
      <c r="L50" s="4"/>
      <c r="M50" s="4"/>
      <c r="N50" s="4"/>
      <c r="O50" s="4"/>
      <c r="P50" s="33" t="s">
        <v>167</v>
      </c>
      <c r="Q50" s="25">
        <v>200</v>
      </c>
      <c r="R50" s="25">
        <v>4</v>
      </c>
      <c r="S50" s="12">
        <f t="shared" si="0"/>
        <v>800</v>
      </c>
      <c r="T50" s="5">
        <v>0</v>
      </c>
      <c r="U50" s="12">
        <f t="shared" si="1"/>
        <v>800</v>
      </c>
      <c r="V50" s="25" t="s">
        <v>8</v>
      </c>
      <c r="W50" s="11">
        <f>IFERROR(VLOOKUP(V50,Curr!$B$2:$C$13,2,FALSE),0)</f>
        <v>1</v>
      </c>
      <c r="X50" s="12">
        <f t="shared" si="2"/>
        <v>800</v>
      </c>
      <c r="Y50" s="26">
        <f>Q50/11/0.6</f>
        <v>30.303030303030308</v>
      </c>
      <c r="Z50" s="12">
        <f t="shared" si="4"/>
        <v>121.21212121212123</v>
      </c>
      <c r="AA50" s="4" t="s">
        <v>10</v>
      </c>
      <c r="AB50" s="11">
        <f>IFERROR(VLOOKUP(AA50,Curr!$B$2:$C$13,2,FALSE),0)</f>
        <v>10.8</v>
      </c>
      <c r="AC50" s="12">
        <f t="shared" si="5"/>
        <v>1309.0909090909095</v>
      </c>
      <c r="AD50" s="12">
        <f t="shared" si="6"/>
        <v>509.09090909090946</v>
      </c>
      <c r="AE50" s="13">
        <f t="shared" si="7"/>
        <v>0.38888888888888906</v>
      </c>
    </row>
    <row r="51" spans="2:31" hidden="1" x14ac:dyDescent="0.25">
      <c r="B51" s="4"/>
      <c r="C51" s="1" t="s">
        <v>107</v>
      </c>
      <c r="D51" s="1" t="s">
        <v>51</v>
      </c>
      <c r="E51" s="3" t="s">
        <v>64</v>
      </c>
      <c r="F51" s="3"/>
      <c r="G51" s="24"/>
      <c r="H51" s="24"/>
      <c r="J51" s="1" t="s">
        <v>109</v>
      </c>
      <c r="K51" s="4"/>
      <c r="L51" s="4"/>
      <c r="M51" s="4"/>
      <c r="N51" s="4"/>
      <c r="O51" s="4"/>
      <c r="P51" s="33"/>
      <c r="Q51" s="25">
        <v>0</v>
      </c>
      <c r="R51" s="25">
        <v>0</v>
      </c>
      <c r="S51" s="12">
        <f t="shared" si="0"/>
        <v>0</v>
      </c>
      <c r="T51" s="5">
        <v>0</v>
      </c>
      <c r="U51" s="12">
        <f t="shared" si="1"/>
        <v>0</v>
      </c>
      <c r="V51" s="25" t="s">
        <v>10</v>
      </c>
      <c r="W51" s="11">
        <f>IFERROR(VLOOKUP(V51,Curr!$B$2:$C$13,2,FALSE),0)</f>
        <v>10.8</v>
      </c>
      <c r="X51" s="12">
        <f t="shared" si="2"/>
        <v>0</v>
      </c>
      <c r="Y51" s="26">
        <f t="shared" ref="Y51" si="19">Q51</f>
        <v>0</v>
      </c>
      <c r="Z51" s="12">
        <f t="shared" si="4"/>
        <v>0</v>
      </c>
      <c r="AA51" s="4" t="s">
        <v>10</v>
      </c>
      <c r="AB51" s="11">
        <f>IFERROR(VLOOKUP(AA51,Curr!$B$2:$C$13,2,FALSE),0)</f>
        <v>10.8</v>
      </c>
      <c r="AC51" s="12">
        <f t="shared" si="5"/>
        <v>0</v>
      </c>
      <c r="AD51" s="12">
        <f t="shared" si="6"/>
        <v>0</v>
      </c>
      <c r="AE51" s="13">
        <f t="shared" si="7"/>
        <v>0</v>
      </c>
    </row>
    <row r="52" spans="2:31" hidden="1" x14ac:dyDescent="0.25">
      <c r="B52" s="4"/>
      <c r="C52" s="1" t="s">
        <v>107</v>
      </c>
      <c r="D52" s="1" t="s">
        <v>56</v>
      </c>
      <c r="E52" s="3" t="s">
        <v>64</v>
      </c>
      <c r="F52" s="3"/>
      <c r="G52" s="24"/>
      <c r="H52" s="24"/>
      <c r="J52" s="1" t="s">
        <v>231</v>
      </c>
      <c r="K52" s="4"/>
      <c r="L52" s="4"/>
      <c r="M52" s="4"/>
      <c r="N52" s="4"/>
      <c r="O52" s="4"/>
      <c r="P52" s="33" t="s">
        <v>232</v>
      </c>
      <c r="Q52" s="25">
        <v>95</v>
      </c>
      <c r="R52" s="25">
        <v>4</v>
      </c>
      <c r="S52" s="12">
        <f t="shared" si="0"/>
        <v>380</v>
      </c>
      <c r="T52" s="5">
        <v>0.2</v>
      </c>
      <c r="U52" s="12">
        <f t="shared" si="1"/>
        <v>304</v>
      </c>
      <c r="V52" s="25" t="s">
        <v>10</v>
      </c>
      <c r="W52" s="11">
        <f>IFERROR(VLOOKUP(V52,Curr!$B$2:$C$13,2,FALSE),0)</f>
        <v>10.8</v>
      </c>
      <c r="X52" s="12">
        <f t="shared" si="2"/>
        <v>3283.2000000000003</v>
      </c>
      <c r="Y52" s="26">
        <f>Q52/0.9</f>
        <v>105.55555555555556</v>
      </c>
      <c r="Z52" s="12">
        <f t="shared" si="4"/>
        <v>422.22222222222223</v>
      </c>
      <c r="AA52" s="4" t="s">
        <v>10</v>
      </c>
      <c r="AB52" s="11">
        <f>IFERROR(VLOOKUP(AA52,Curr!$B$2:$C$13,2,FALSE),0)</f>
        <v>10.8</v>
      </c>
      <c r="AC52" s="12">
        <f t="shared" si="5"/>
        <v>4560</v>
      </c>
      <c r="AD52" s="12">
        <f t="shared" si="6"/>
        <v>1276.7999999999997</v>
      </c>
      <c r="AE52" s="13">
        <f t="shared" si="7"/>
        <v>0.27999999999999992</v>
      </c>
    </row>
    <row r="53" spans="2:31" hidden="1" x14ac:dyDescent="0.25">
      <c r="B53" s="4"/>
      <c r="E53" s="3"/>
      <c r="F53" s="3"/>
      <c r="G53" s="24"/>
      <c r="H53" s="24"/>
      <c r="K53" s="4"/>
      <c r="L53" s="4"/>
      <c r="M53" s="4"/>
      <c r="N53" s="4"/>
      <c r="O53" s="4"/>
      <c r="P53" s="33"/>
      <c r="Q53" s="25"/>
      <c r="R53" s="25"/>
      <c r="S53" s="12">
        <f t="shared" si="0"/>
        <v>0</v>
      </c>
      <c r="T53" s="5">
        <v>0</v>
      </c>
      <c r="U53" s="12">
        <f t="shared" si="1"/>
        <v>0</v>
      </c>
      <c r="V53" s="25" t="s">
        <v>10</v>
      </c>
      <c r="W53" s="11">
        <f>IFERROR(VLOOKUP(V53,Curr!$B$2:$C$13,2,FALSE),0)</f>
        <v>10.8</v>
      </c>
      <c r="X53" s="12">
        <f t="shared" si="2"/>
        <v>0</v>
      </c>
      <c r="Y53" s="26">
        <f t="shared" si="17"/>
        <v>0</v>
      </c>
      <c r="Z53" s="12">
        <f t="shared" si="4"/>
        <v>0</v>
      </c>
      <c r="AA53" s="4" t="s">
        <v>10</v>
      </c>
      <c r="AB53" s="11">
        <f>IFERROR(VLOOKUP(AA53,Curr!$B$2:$C$13,2,FALSE),0)</f>
        <v>10.8</v>
      </c>
      <c r="AC53" s="12">
        <f t="shared" si="5"/>
        <v>0</v>
      </c>
      <c r="AD53" s="12">
        <f t="shared" si="6"/>
        <v>0</v>
      </c>
      <c r="AE53" s="13">
        <f t="shared" si="7"/>
        <v>0</v>
      </c>
    </row>
    <row r="54" spans="2:31" hidden="1" x14ac:dyDescent="0.25">
      <c r="B54" s="4"/>
      <c r="C54" s="1" t="s">
        <v>112</v>
      </c>
      <c r="D54" s="1" t="s">
        <v>49</v>
      </c>
      <c r="E54" s="3" t="s">
        <v>68</v>
      </c>
      <c r="F54" s="3"/>
      <c r="G54" s="24"/>
      <c r="H54" s="24"/>
      <c r="J54" s="1" t="s">
        <v>134</v>
      </c>
      <c r="K54" s="4"/>
      <c r="L54" s="4"/>
      <c r="M54" s="4"/>
      <c r="N54" s="4"/>
      <c r="O54" s="4"/>
      <c r="P54" s="33" t="s">
        <v>166</v>
      </c>
      <c r="Q54" s="25">
        <v>2290</v>
      </c>
      <c r="R54" s="25">
        <v>1</v>
      </c>
      <c r="S54" s="12">
        <f t="shared" si="0"/>
        <v>2290</v>
      </c>
      <c r="T54" s="5">
        <v>0.15</v>
      </c>
      <c r="U54" s="12">
        <f t="shared" si="1"/>
        <v>1946.5</v>
      </c>
      <c r="V54" s="25" t="s">
        <v>8</v>
      </c>
      <c r="W54" s="11">
        <f>IFERROR(VLOOKUP(V54,Curr!$B$2:$C$13,2,FALSE),0)</f>
        <v>1</v>
      </c>
      <c r="X54" s="12">
        <f t="shared" si="2"/>
        <v>1946.5</v>
      </c>
      <c r="Y54" s="26">
        <f>Q54/11/0.9</f>
        <v>231.31313131313132</v>
      </c>
      <c r="Z54" s="12">
        <f t="shared" si="4"/>
        <v>231.31313131313132</v>
      </c>
      <c r="AA54" s="4" t="s">
        <v>10</v>
      </c>
      <c r="AB54" s="11">
        <f>IFERROR(VLOOKUP(AA54,Curr!$B$2:$C$13,2,FALSE),0)</f>
        <v>10.8</v>
      </c>
      <c r="AC54" s="12">
        <f t="shared" si="5"/>
        <v>2498.1818181818185</v>
      </c>
      <c r="AD54" s="12">
        <f t="shared" si="6"/>
        <v>551.68181818181847</v>
      </c>
      <c r="AE54" s="13">
        <f t="shared" si="7"/>
        <v>0.22083333333333344</v>
      </c>
    </row>
    <row r="55" spans="2:31" hidden="1" x14ac:dyDescent="0.25">
      <c r="B55" s="4"/>
      <c r="C55" s="1" t="s">
        <v>112</v>
      </c>
      <c r="D55" s="1" t="s">
        <v>76</v>
      </c>
      <c r="E55" s="3" t="s">
        <v>68</v>
      </c>
      <c r="F55" s="3"/>
      <c r="G55" s="24"/>
      <c r="H55" s="24"/>
      <c r="J55" s="1" t="s">
        <v>168</v>
      </c>
      <c r="K55" s="4"/>
      <c r="L55" s="4"/>
      <c r="M55" s="4"/>
      <c r="N55" s="4"/>
      <c r="O55" s="4"/>
      <c r="P55" s="33" t="s">
        <v>169</v>
      </c>
      <c r="Q55" s="25">
        <v>1639</v>
      </c>
      <c r="R55" s="25">
        <v>4</v>
      </c>
      <c r="S55" s="12">
        <f t="shared" si="0"/>
        <v>6556</v>
      </c>
      <c r="T55" s="5">
        <v>0</v>
      </c>
      <c r="U55" s="12">
        <f t="shared" si="1"/>
        <v>6556</v>
      </c>
      <c r="V55" s="25" t="s">
        <v>8</v>
      </c>
      <c r="W55" s="11">
        <f>IFERROR(VLOOKUP(V55,Curr!$B$2:$C$13,2,FALSE),0)</f>
        <v>1</v>
      </c>
      <c r="X55" s="12">
        <f t="shared" si="2"/>
        <v>6556</v>
      </c>
      <c r="Y55" s="26">
        <f>Q55/11/0.8</f>
        <v>186.25</v>
      </c>
      <c r="Z55" s="12">
        <f t="shared" si="4"/>
        <v>745</v>
      </c>
      <c r="AA55" s="4" t="s">
        <v>10</v>
      </c>
      <c r="AB55" s="11">
        <f>IFERROR(VLOOKUP(AA55,Curr!$B$2:$C$13,2,FALSE),0)</f>
        <v>10.8</v>
      </c>
      <c r="AC55" s="12">
        <f t="shared" si="5"/>
        <v>8046.0000000000009</v>
      </c>
      <c r="AD55" s="12">
        <f t="shared" si="6"/>
        <v>1490.0000000000009</v>
      </c>
      <c r="AE55" s="13">
        <f t="shared" si="7"/>
        <v>0.18518518518518529</v>
      </c>
    </row>
    <row r="56" spans="2:31" hidden="1" x14ac:dyDescent="0.25">
      <c r="B56" s="4"/>
      <c r="C56" s="1" t="s">
        <v>112</v>
      </c>
      <c r="D56" s="1" t="s">
        <v>74</v>
      </c>
      <c r="E56" s="3" t="s">
        <v>68</v>
      </c>
      <c r="F56" s="3" t="s">
        <v>120</v>
      </c>
      <c r="G56" s="24"/>
      <c r="H56" s="24"/>
      <c r="J56" s="1" t="s">
        <v>205</v>
      </c>
      <c r="K56" s="4"/>
      <c r="L56" s="4"/>
      <c r="M56" s="4"/>
      <c r="N56" s="4"/>
      <c r="O56" s="4"/>
      <c r="P56" s="33" t="s">
        <v>226</v>
      </c>
      <c r="Q56" s="25">
        <v>334</v>
      </c>
      <c r="R56" s="25">
        <v>1</v>
      </c>
      <c r="S56" s="12">
        <f t="shared" si="0"/>
        <v>334</v>
      </c>
      <c r="T56" s="5">
        <v>0</v>
      </c>
      <c r="U56" s="12">
        <f t="shared" si="1"/>
        <v>334</v>
      </c>
      <c r="V56" s="25" t="s">
        <v>10</v>
      </c>
      <c r="W56" s="11">
        <f>IFERROR(VLOOKUP(V56,Curr!$B$2:$C$13,2,FALSE),0)</f>
        <v>10.8</v>
      </c>
      <c r="X56" s="12">
        <f t="shared" si="2"/>
        <v>3607.2000000000003</v>
      </c>
      <c r="Y56" s="26">
        <f>Q56/0.8</f>
        <v>417.5</v>
      </c>
      <c r="Z56" s="12">
        <f t="shared" si="4"/>
        <v>417.5</v>
      </c>
      <c r="AA56" s="4" t="s">
        <v>10</v>
      </c>
      <c r="AB56" s="11">
        <f>IFERROR(VLOOKUP(AA56,Curr!$B$2:$C$13,2,FALSE),0)</f>
        <v>10.8</v>
      </c>
      <c r="AC56" s="12">
        <f t="shared" si="5"/>
        <v>4509</v>
      </c>
      <c r="AD56" s="12">
        <f t="shared" si="6"/>
        <v>901.79999999999973</v>
      </c>
      <c r="AE56" s="13">
        <f t="shared" si="7"/>
        <v>0.19999999999999993</v>
      </c>
    </row>
    <row r="57" spans="2:31" hidden="1" x14ac:dyDescent="0.25">
      <c r="B57" s="4"/>
      <c r="C57" s="1" t="s">
        <v>112</v>
      </c>
      <c r="D57" s="1" t="s">
        <v>75</v>
      </c>
      <c r="E57" s="3" t="s">
        <v>68</v>
      </c>
      <c r="F57" s="3"/>
      <c r="G57" s="24"/>
      <c r="H57" s="24"/>
      <c r="J57" s="1" t="s">
        <v>200</v>
      </c>
      <c r="K57" s="4"/>
      <c r="L57" s="4"/>
      <c r="M57" s="4"/>
      <c r="N57" s="4"/>
      <c r="O57" s="4"/>
      <c r="P57" s="33"/>
      <c r="Q57" s="25">
        <v>0</v>
      </c>
      <c r="R57" s="25">
        <v>0</v>
      </c>
      <c r="S57" s="12">
        <f t="shared" si="0"/>
        <v>0</v>
      </c>
      <c r="T57" s="5">
        <v>0</v>
      </c>
      <c r="U57" s="12">
        <f t="shared" si="1"/>
        <v>0</v>
      </c>
      <c r="V57" s="25" t="s">
        <v>10</v>
      </c>
      <c r="W57" s="11">
        <f>IFERROR(VLOOKUP(V57,Curr!$B$2:$C$13,2,FALSE),0)</f>
        <v>10.8</v>
      </c>
      <c r="X57" s="12">
        <f t="shared" si="2"/>
        <v>0</v>
      </c>
      <c r="Y57" s="26">
        <f t="shared" ref="Y57" si="20">Q57</f>
        <v>0</v>
      </c>
      <c r="Z57" s="12">
        <f t="shared" si="4"/>
        <v>0</v>
      </c>
      <c r="AA57" s="4" t="s">
        <v>10</v>
      </c>
      <c r="AB57" s="11">
        <f>IFERROR(VLOOKUP(AA57,Curr!$B$2:$C$13,2,FALSE),0)</f>
        <v>10.8</v>
      </c>
      <c r="AC57" s="12">
        <f t="shared" si="5"/>
        <v>0</v>
      </c>
      <c r="AD57" s="12">
        <f t="shared" si="6"/>
        <v>0</v>
      </c>
      <c r="AE57" s="13">
        <f t="shared" si="7"/>
        <v>0</v>
      </c>
    </row>
    <row r="58" spans="2:31" x14ac:dyDescent="0.25">
      <c r="B58" s="4"/>
      <c r="C58" s="1" t="s">
        <v>112</v>
      </c>
      <c r="D58" s="1" t="s">
        <v>50</v>
      </c>
      <c r="E58" s="3" t="s">
        <v>68</v>
      </c>
      <c r="F58" s="3" t="s">
        <v>120</v>
      </c>
      <c r="G58" s="24"/>
      <c r="H58" s="24"/>
      <c r="J58" s="1" t="s">
        <v>204</v>
      </c>
      <c r="K58" s="4"/>
      <c r="L58" s="4"/>
      <c r="M58" s="4" t="s">
        <v>265</v>
      </c>
      <c r="N58" s="4"/>
      <c r="O58" s="4"/>
      <c r="P58" s="33" t="s">
        <v>203</v>
      </c>
      <c r="Q58" s="25">
        <v>3060</v>
      </c>
      <c r="R58" s="25">
        <v>1</v>
      </c>
      <c r="S58" s="12">
        <f t="shared" si="0"/>
        <v>3060</v>
      </c>
      <c r="T58" s="5">
        <v>0</v>
      </c>
      <c r="U58" s="12">
        <f t="shared" si="1"/>
        <v>3060</v>
      </c>
      <c r="V58" s="25" t="s">
        <v>10</v>
      </c>
      <c r="W58" s="11">
        <f>IFERROR(VLOOKUP(V58,Curr!$B$2:$C$13,2,FALSE),0)</f>
        <v>10.8</v>
      </c>
      <c r="X58" s="12">
        <f t="shared" si="2"/>
        <v>33048</v>
      </c>
      <c r="Y58" s="26">
        <f>Q58/0.8</f>
        <v>3825</v>
      </c>
      <c r="Z58" s="12">
        <f t="shared" si="4"/>
        <v>3825</v>
      </c>
      <c r="AA58" s="4" t="s">
        <v>10</v>
      </c>
      <c r="AB58" s="11">
        <f>IFERROR(VLOOKUP(AA58,Curr!$B$2:$C$13,2,FALSE),0)</f>
        <v>10.8</v>
      </c>
      <c r="AC58" s="12">
        <f t="shared" si="5"/>
        <v>41310</v>
      </c>
      <c r="AD58" s="12">
        <f t="shared" si="6"/>
        <v>8262</v>
      </c>
      <c r="AE58" s="13">
        <f t="shared" si="7"/>
        <v>0.2</v>
      </c>
    </row>
    <row r="59" spans="2:31" hidden="1" x14ac:dyDescent="0.25">
      <c r="B59" s="4"/>
      <c r="C59" s="1" t="s">
        <v>112</v>
      </c>
      <c r="D59" s="1" t="s">
        <v>51</v>
      </c>
      <c r="E59" s="3" t="s">
        <v>68</v>
      </c>
      <c r="F59" s="3"/>
      <c r="G59" s="24"/>
      <c r="H59" s="24"/>
      <c r="J59" s="1" t="s">
        <v>114</v>
      </c>
      <c r="K59" s="4"/>
      <c r="L59" s="4"/>
      <c r="M59" s="4"/>
      <c r="N59" s="4"/>
      <c r="O59" s="4"/>
      <c r="P59" s="33"/>
      <c r="Q59" s="25">
        <v>0</v>
      </c>
      <c r="R59" s="25">
        <v>0</v>
      </c>
      <c r="S59" s="12">
        <f t="shared" si="0"/>
        <v>0</v>
      </c>
      <c r="T59" s="5">
        <v>0</v>
      </c>
      <c r="U59" s="12">
        <f t="shared" si="1"/>
        <v>0</v>
      </c>
      <c r="V59" s="25" t="s">
        <v>10</v>
      </c>
      <c r="W59" s="11">
        <f>IFERROR(VLOOKUP(V59,Curr!$B$2:$C$13,2,FALSE),0)</f>
        <v>10.8</v>
      </c>
      <c r="X59" s="12">
        <f t="shared" si="2"/>
        <v>0</v>
      </c>
      <c r="Y59" s="26">
        <f t="shared" ref="Y59" si="21">Q59</f>
        <v>0</v>
      </c>
      <c r="Z59" s="12">
        <f t="shared" si="4"/>
        <v>0</v>
      </c>
      <c r="AA59" s="4" t="s">
        <v>10</v>
      </c>
      <c r="AB59" s="11">
        <f>IFERROR(VLOOKUP(AA59,Curr!$B$2:$C$13,2,FALSE),0)</f>
        <v>10.8</v>
      </c>
      <c r="AC59" s="12">
        <f t="shared" si="5"/>
        <v>0</v>
      </c>
      <c r="AD59" s="12">
        <f t="shared" si="6"/>
        <v>0</v>
      </c>
      <c r="AE59" s="13">
        <f t="shared" si="7"/>
        <v>0</v>
      </c>
    </row>
    <row r="60" spans="2:31" hidden="1" x14ac:dyDescent="0.25">
      <c r="B60" s="4"/>
      <c r="E60" s="3"/>
      <c r="F60" s="3"/>
      <c r="G60" s="24"/>
      <c r="H60" s="24"/>
      <c r="K60" s="4"/>
      <c r="L60" s="4"/>
      <c r="M60" s="4"/>
      <c r="N60" s="4"/>
      <c r="O60" s="4"/>
      <c r="P60" s="33"/>
      <c r="Q60" s="25"/>
      <c r="R60" s="25"/>
      <c r="S60" s="12">
        <f t="shared" si="0"/>
        <v>0</v>
      </c>
      <c r="T60" s="5">
        <v>0</v>
      </c>
      <c r="U60" s="12">
        <f t="shared" si="1"/>
        <v>0</v>
      </c>
      <c r="V60" s="25" t="s">
        <v>10</v>
      </c>
      <c r="W60" s="11">
        <f>IFERROR(VLOOKUP(V60,Curr!$B$2:$C$13,2,FALSE),0)</f>
        <v>10.8</v>
      </c>
      <c r="X60" s="12">
        <f t="shared" si="2"/>
        <v>0</v>
      </c>
      <c r="Y60" s="26">
        <f t="shared" si="17"/>
        <v>0</v>
      </c>
      <c r="Z60" s="12">
        <f t="shared" si="4"/>
        <v>0</v>
      </c>
      <c r="AA60" s="4" t="s">
        <v>10</v>
      </c>
      <c r="AB60" s="11">
        <f>IFERROR(VLOOKUP(AA60,Curr!$B$2:$C$13,2,FALSE),0)</f>
        <v>10.8</v>
      </c>
      <c r="AC60" s="12">
        <f t="shared" si="5"/>
        <v>0</v>
      </c>
      <c r="AD60" s="12">
        <f t="shared" si="6"/>
        <v>0</v>
      </c>
      <c r="AE60" s="13">
        <f t="shared" si="7"/>
        <v>0</v>
      </c>
    </row>
    <row r="61" spans="2:31" hidden="1" x14ac:dyDescent="0.25">
      <c r="B61" s="4"/>
      <c r="C61" s="1" t="s">
        <v>113</v>
      </c>
      <c r="D61" s="1" t="s">
        <v>75</v>
      </c>
      <c r="E61" s="3" t="s">
        <v>54</v>
      </c>
      <c r="F61" s="3"/>
      <c r="G61" s="24"/>
      <c r="H61" s="24"/>
      <c r="J61" s="1" t="s">
        <v>209</v>
      </c>
      <c r="K61" s="4"/>
      <c r="L61" s="4"/>
      <c r="M61" s="4"/>
      <c r="N61" s="4"/>
      <c r="O61" s="4"/>
      <c r="P61" s="33" t="s">
        <v>211</v>
      </c>
      <c r="Q61" s="25">
        <v>1680</v>
      </c>
      <c r="R61" s="25">
        <v>1</v>
      </c>
      <c r="S61" s="12">
        <f t="shared" si="0"/>
        <v>1680</v>
      </c>
      <c r="T61" s="5">
        <v>0.12</v>
      </c>
      <c r="U61" s="12">
        <f t="shared" si="1"/>
        <v>1478.4</v>
      </c>
      <c r="V61" s="25" t="s">
        <v>8</v>
      </c>
      <c r="W61" s="11">
        <f>IFERROR(VLOOKUP(V61,Curr!$B$2:$C$13,2,FALSE),0)</f>
        <v>1</v>
      </c>
      <c r="X61" s="12">
        <f t="shared" si="2"/>
        <v>1478.4</v>
      </c>
      <c r="Y61" s="26">
        <f>Q61/11/0.8</f>
        <v>190.90909090909088</v>
      </c>
      <c r="Z61" s="12">
        <f t="shared" si="4"/>
        <v>190.90909090909088</v>
      </c>
      <c r="AA61" s="4" t="s">
        <v>10</v>
      </c>
      <c r="AB61" s="11">
        <f>IFERROR(VLOOKUP(AA61,Curr!$B$2:$C$13,2,FALSE),0)</f>
        <v>10.8</v>
      </c>
      <c r="AC61" s="12">
        <f t="shared" si="5"/>
        <v>2061.8181818181815</v>
      </c>
      <c r="AD61" s="12">
        <f t="shared" si="6"/>
        <v>583.41818181818144</v>
      </c>
      <c r="AE61" s="13">
        <f t="shared" si="7"/>
        <v>0.28296296296296281</v>
      </c>
    </row>
    <row r="62" spans="2:31" hidden="1" x14ac:dyDescent="0.25">
      <c r="B62" s="4"/>
      <c r="C62" s="1" t="s">
        <v>113</v>
      </c>
      <c r="D62" s="1" t="s">
        <v>51</v>
      </c>
      <c r="E62" s="3" t="s">
        <v>54</v>
      </c>
      <c r="F62" s="3"/>
      <c r="G62" s="24"/>
      <c r="H62" s="24"/>
      <c r="J62" s="1" t="s">
        <v>114</v>
      </c>
      <c r="K62" s="4"/>
      <c r="L62" s="4"/>
      <c r="M62" s="4"/>
      <c r="N62" s="4"/>
      <c r="O62" s="4"/>
      <c r="P62" s="33"/>
      <c r="Q62" s="25">
        <v>0</v>
      </c>
      <c r="R62" s="25">
        <v>0</v>
      </c>
      <c r="S62" s="12">
        <f t="shared" si="0"/>
        <v>0</v>
      </c>
      <c r="T62" s="5">
        <v>0</v>
      </c>
      <c r="U62" s="12">
        <f t="shared" si="1"/>
        <v>0</v>
      </c>
      <c r="V62" s="25" t="s">
        <v>10</v>
      </c>
      <c r="W62" s="11">
        <f>IFERROR(VLOOKUP(V62,Curr!$B$2:$C$13,2,FALSE),0)</f>
        <v>10.8</v>
      </c>
      <c r="X62" s="12">
        <f t="shared" si="2"/>
        <v>0</v>
      </c>
      <c r="Y62" s="26">
        <f t="shared" si="17"/>
        <v>0</v>
      </c>
      <c r="Z62" s="12">
        <f t="shared" si="4"/>
        <v>0</v>
      </c>
      <c r="AA62" s="4" t="s">
        <v>10</v>
      </c>
      <c r="AB62" s="11">
        <f>IFERROR(VLOOKUP(AA62,Curr!$B$2:$C$13,2,FALSE),0)</f>
        <v>10.8</v>
      </c>
      <c r="AC62" s="12">
        <f t="shared" si="5"/>
        <v>0</v>
      </c>
      <c r="AD62" s="12">
        <f t="shared" si="6"/>
        <v>0</v>
      </c>
      <c r="AE62" s="13">
        <f t="shared" si="7"/>
        <v>0</v>
      </c>
    </row>
    <row r="63" spans="2:31" hidden="1" x14ac:dyDescent="0.25">
      <c r="B63" s="4"/>
      <c r="E63" s="3"/>
      <c r="F63" s="3"/>
      <c r="G63" s="24"/>
      <c r="H63" s="24"/>
      <c r="K63" s="4"/>
      <c r="L63" s="4"/>
      <c r="M63" s="4"/>
      <c r="N63" s="4"/>
      <c r="O63" s="4"/>
      <c r="P63" s="27"/>
      <c r="Q63" s="25"/>
      <c r="R63" s="25"/>
      <c r="S63" s="12">
        <f t="shared" si="0"/>
        <v>0</v>
      </c>
      <c r="T63" s="5">
        <v>0</v>
      </c>
      <c r="U63" s="12">
        <f t="shared" si="1"/>
        <v>0</v>
      </c>
      <c r="V63" s="25" t="s">
        <v>10</v>
      </c>
      <c r="W63" s="11">
        <f>IFERROR(VLOOKUP(V63,Curr!$B$2:$C$13,2,FALSE),0)</f>
        <v>10.8</v>
      </c>
      <c r="X63" s="12">
        <f t="shared" si="2"/>
        <v>0</v>
      </c>
      <c r="Y63" s="26">
        <f t="shared" si="17"/>
        <v>0</v>
      </c>
      <c r="Z63" s="12">
        <f t="shared" si="4"/>
        <v>0</v>
      </c>
      <c r="AA63" s="4" t="s">
        <v>10</v>
      </c>
      <c r="AB63" s="11">
        <f>IFERROR(VLOOKUP(AA63,Curr!$B$2:$C$13,2,FALSE),0)</f>
        <v>10.8</v>
      </c>
      <c r="AC63" s="12">
        <f t="shared" si="5"/>
        <v>0</v>
      </c>
      <c r="AD63" s="12">
        <f t="shared" si="6"/>
        <v>0</v>
      </c>
      <c r="AE63" s="13">
        <f t="shared" si="7"/>
        <v>0</v>
      </c>
    </row>
    <row r="64" spans="2:31" hidden="1" x14ac:dyDescent="0.25">
      <c r="B64" s="4"/>
      <c r="C64" s="1" t="s">
        <v>117</v>
      </c>
      <c r="D64" s="1" t="s">
        <v>75</v>
      </c>
      <c r="E64" s="3" t="s">
        <v>118</v>
      </c>
      <c r="F64" s="3"/>
      <c r="G64" s="24"/>
      <c r="H64" s="24"/>
      <c r="J64" s="1" t="s">
        <v>210</v>
      </c>
      <c r="K64" s="4"/>
      <c r="L64" s="4"/>
      <c r="M64" s="4"/>
      <c r="N64" s="4"/>
      <c r="O64" s="4"/>
      <c r="P64" s="33"/>
      <c r="Q64" s="25">
        <v>0</v>
      </c>
      <c r="R64" s="25">
        <v>0</v>
      </c>
      <c r="S64" s="12">
        <f t="shared" si="0"/>
        <v>0</v>
      </c>
      <c r="T64" s="5">
        <v>0</v>
      </c>
      <c r="U64" s="12">
        <f t="shared" si="1"/>
        <v>0</v>
      </c>
      <c r="V64" s="25" t="s">
        <v>10</v>
      </c>
      <c r="W64" s="11">
        <f>IFERROR(VLOOKUP(V64,Curr!$B$2:$C$13,2,FALSE),0)</f>
        <v>10.8</v>
      </c>
      <c r="X64" s="12">
        <f t="shared" si="2"/>
        <v>0</v>
      </c>
      <c r="Y64" s="26">
        <f t="shared" si="17"/>
        <v>0</v>
      </c>
      <c r="Z64" s="12">
        <f t="shared" si="4"/>
        <v>0</v>
      </c>
      <c r="AA64" s="4" t="s">
        <v>10</v>
      </c>
      <c r="AB64" s="11">
        <f>IFERROR(VLOOKUP(AA64,Curr!$B$2:$C$13,2,FALSE),0)</f>
        <v>10.8</v>
      </c>
      <c r="AC64" s="12">
        <f t="shared" si="5"/>
        <v>0</v>
      </c>
      <c r="AD64" s="12">
        <f t="shared" si="6"/>
        <v>0</v>
      </c>
      <c r="AE64" s="13">
        <f t="shared" si="7"/>
        <v>0</v>
      </c>
    </row>
    <row r="65" spans="2:31" hidden="1" x14ac:dyDescent="0.25">
      <c r="B65" s="4"/>
      <c r="C65" s="1" t="s">
        <v>117</v>
      </c>
      <c r="D65" s="1" t="s">
        <v>51</v>
      </c>
      <c r="E65" s="3" t="s">
        <v>118</v>
      </c>
      <c r="F65" s="3"/>
      <c r="G65" s="24"/>
      <c r="H65" s="24"/>
      <c r="J65" s="1" t="s">
        <v>114</v>
      </c>
      <c r="K65" s="4"/>
      <c r="L65" s="4"/>
      <c r="M65" s="4"/>
      <c r="N65" s="4"/>
      <c r="O65" s="4"/>
      <c r="P65" s="33"/>
      <c r="Q65" s="25">
        <v>0</v>
      </c>
      <c r="R65" s="25">
        <v>0</v>
      </c>
      <c r="S65" s="12">
        <f t="shared" si="0"/>
        <v>0</v>
      </c>
      <c r="T65" s="5">
        <v>0</v>
      </c>
      <c r="U65" s="12">
        <f t="shared" si="1"/>
        <v>0</v>
      </c>
      <c r="V65" s="25" t="s">
        <v>10</v>
      </c>
      <c r="W65" s="11">
        <f>IFERROR(VLOOKUP(V65,Curr!$B$2:$C$13,2,FALSE),0)</f>
        <v>10.8</v>
      </c>
      <c r="X65" s="12">
        <f t="shared" si="2"/>
        <v>0</v>
      </c>
      <c r="Y65" s="26">
        <f t="shared" si="17"/>
        <v>0</v>
      </c>
      <c r="Z65" s="12">
        <f t="shared" si="4"/>
        <v>0</v>
      </c>
      <c r="AA65" s="4" t="s">
        <v>10</v>
      </c>
      <c r="AB65" s="11">
        <f>IFERROR(VLOOKUP(AA65,Curr!$B$2:$C$13,2,FALSE),0)</f>
        <v>10.8</v>
      </c>
      <c r="AC65" s="12">
        <f t="shared" si="5"/>
        <v>0</v>
      </c>
      <c r="AD65" s="12">
        <f t="shared" si="6"/>
        <v>0</v>
      </c>
      <c r="AE65" s="13">
        <f t="shared" si="7"/>
        <v>0</v>
      </c>
    </row>
    <row r="66" spans="2:31" hidden="1" x14ac:dyDescent="0.25">
      <c r="B66" s="4"/>
      <c r="E66" s="3"/>
      <c r="F66" s="3"/>
      <c r="G66" s="24"/>
      <c r="H66" s="24"/>
      <c r="K66" s="4"/>
      <c r="L66" s="4"/>
      <c r="M66" s="4"/>
      <c r="N66" s="4"/>
      <c r="O66" s="4"/>
      <c r="P66" s="27"/>
      <c r="Q66" s="25"/>
      <c r="R66" s="25"/>
      <c r="S66" s="12">
        <f t="shared" si="0"/>
        <v>0</v>
      </c>
      <c r="T66" s="5">
        <v>0</v>
      </c>
      <c r="U66" s="12">
        <f t="shared" si="1"/>
        <v>0</v>
      </c>
      <c r="V66" s="25" t="s">
        <v>10</v>
      </c>
      <c r="W66" s="11">
        <f>IFERROR(VLOOKUP(V66,Curr!$B$2:$C$13,2,FALSE),0)</f>
        <v>10.8</v>
      </c>
      <c r="X66" s="12">
        <f t="shared" si="2"/>
        <v>0</v>
      </c>
      <c r="Y66" s="26">
        <f t="shared" si="17"/>
        <v>0</v>
      </c>
      <c r="Z66" s="12">
        <f t="shared" si="4"/>
        <v>0</v>
      </c>
      <c r="AA66" s="4" t="s">
        <v>10</v>
      </c>
      <c r="AB66" s="11">
        <f>IFERROR(VLOOKUP(AA66,Curr!$B$2:$C$13,2,FALSE),0)</f>
        <v>10.8</v>
      </c>
      <c r="AC66" s="12">
        <f t="shared" si="5"/>
        <v>0</v>
      </c>
      <c r="AD66" s="12">
        <f t="shared" si="6"/>
        <v>0</v>
      </c>
      <c r="AE66" s="13">
        <f t="shared" si="7"/>
        <v>0</v>
      </c>
    </row>
    <row r="67" spans="2:31" hidden="1" x14ac:dyDescent="0.25">
      <c r="B67" s="4"/>
      <c r="C67" s="1" t="s">
        <v>119</v>
      </c>
      <c r="D67" s="1" t="s">
        <v>75</v>
      </c>
      <c r="E67" s="3" t="s">
        <v>120</v>
      </c>
      <c r="F67" s="3"/>
      <c r="G67" s="24"/>
      <c r="H67" s="24"/>
      <c r="J67" s="1" t="s">
        <v>201</v>
      </c>
      <c r="K67" s="4"/>
      <c r="L67" s="4"/>
      <c r="M67" s="4"/>
      <c r="N67" s="4"/>
      <c r="O67" s="4"/>
      <c r="P67" s="33"/>
      <c r="Q67" s="25">
        <v>0</v>
      </c>
      <c r="R67" s="25">
        <v>0</v>
      </c>
      <c r="S67" s="12">
        <f t="shared" si="0"/>
        <v>0</v>
      </c>
      <c r="T67" s="5">
        <v>0</v>
      </c>
      <c r="U67" s="12">
        <f t="shared" si="1"/>
        <v>0</v>
      </c>
      <c r="V67" s="25" t="s">
        <v>10</v>
      </c>
      <c r="W67" s="11">
        <f>IFERROR(VLOOKUP(V67,Curr!$B$2:$C$13,2,FALSE),0)</f>
        <v>10.8</v>
      </c>
      <c r="X67" s="12">
        <f t="shared" si="2"/>
        <v>0</v>
      </c>
      <c r="Y67" s="26">
        <f t="shared" si="17"/>
        <v>0</v>
      </c>
      <c r="Z67" s="12">
        <f t="shared" si="4"/>
        <v>0</v>
      </c>
      <c r="AA67" s="4" t="s">
        <v>10</v>
      </c>
      <c r="AB67" s="11">
        <f>IFERROR(VLOOKUP(AA67,Curr!$B$2:$C$13,2,FALSE),0)</f>
        <v>10.8</v>
      </c>
      <c r="AC67" s="12">
        <f t="shared" si="5"/>
        <v>0</v>
      </c>
      <c r="AD67" s="12">
        <f t="shared" si="6"/>
        <v>0</v>
      </c>
      <c r="AE67" s="13">
        <f t="shared" si="7"/>
        <v>0</v>
      </c>
    </row>
    <row r="68" spans="2:31" hidden="1" x14ac:dyDescent="0.25">
      <c r="B68" s="4"/>
      <c r="C68" s="1" t="s">
        <v>119</v>
      </c>
      <c r="D68" s="1" t="s">
        <v>74</v>
      </c>
      <c r="E68" s="3" t="s">
        <v>120</v>
      </c>
      <c r="F68" s="3"/>
      <c r="G68" s="24"/>
      <c r="H68" s="24"/>
      <c r="J68" s="1" t="s">
        <v>202</v>
      </c>
      <c r="K68" s="4"/>
      <c r="L68" s="4"/>
      <c r="M68" s="4"/>
      <c r="N68" s="4"/>
      <c r="O68" s="4"/>
      <c r="P68" s="33"/>
      <c r="Q68" s="25">
        <v>0</v>
      </c>
      <c r="R68" s="25">
        <v>0</v>
      </c>
      <c r="S68" s="12">
        <f t="shared" si="0"/>
        <v>0</v>
      </c>
      <c r="T68" s="5">
        <v>0</v>
      </c>
      <c r="U68" s="12">
        <f t="shared" si="1"/>
        <v>0</v>
      </c>
      <c r="V68" s="25" t="s">
        <v>10</v>
      </c>
      <c r="W68" s="11">
        <f>IFERROR(VLOOKUP(V68,Curr!$B$2:$C$13,2,FALSE),0)</f>
        <v>10.8</v>
      </c>
      <c r="X68" s="12">
        <f t="shared" si="2"/>
        <v>0</v>
      </c>
      <c r="Y68" s="26">
        <f t="shared" si="17"/>
        <v>0</v>
      </c>
      <c r="Z68" s="12">
        <f t="shared" si="4"/>
        <v>0</v>
      </c>
      <c r="AA68" s="4" t="s">
        <v>10</v>
      </c>
      <c r="AB68" s="11">
        <f>IFERROR(VLOOKUP(AA68,Curr!$B$2:$C$13,2,FALSE),0)</f>
        <v>10.8</v>
      </c>
      <c r="AC68" s="12">
        <f t="shared" si="5"/>
        <v>0</v>
      </c>
      <c r="AD68" s="12">
        <f t="shared" si="6"/>
        <v>0</v>
      </c>
      <c r="AE68" s="13">
        <f t="shared" si="7"/>
        <v>0</v>
      </c>
    </row>
    <row r="69" spans="2:31" hidden="1" x14ac:dyDescent="0.25">
      <c r="B69" s="4"/>
      <c r="C69" s="1" t="s">
        <v>119</v>
      </c>
      <c r="D69" s="1" t="s">
        <v>67</v>
      </c>
      <c r="E69" s="3" t="s">
        <v>120</v>
      </c>
      <c r="F69" s="3"/>
      <c r="G69" s="24"/>
      <c r="H69" s="24"/>
      <c r="J69" s="1" t="s">
        <v>228</v>
      </c>
      <c r="K69" s="4"/>
      <c r="L69" s="4"/>
      <c r="M69" s="4"/>
      <c r="N69" s="4"/>
      <c r="O69" s="4"/>
      <c r="P69" s="29"/>
      <c r="Q69" s="25">
        <v>0</v>
      </c>
      <c r="R69" s="25">
        <v>0</v>
      </c>
      <c r="S69" s="12">
        <f t="shared" si="0"/>
        <v>0</v>
      </c>
      <c r="T69" s="5">
        <v>0</v>
      </c>
      <c r="U69" s="12">
        <f t="shared" si="1"/>
        <v>0</v>
      </c>
      <c r="V69" s="25" t="s">
        <v>10</v>
      </c>
      <c r="W69" s="11">
        <f>IFERROR(VLOOKUP(V69,Curr!$B$2:$C$13,2,FALSE),0)</f>
        <v>10.8</v>
      </c>
      <c r="X69" s="12">
        <f t="shared" si="2"/>
        <v>0</v>
      </c>
      <c r="Y69" s="26">
        <f t="shared" si="17"/>
        <v>0</v>
      </c>
      <c r="Z69" s="12">
        <f t="shared" si="4"/>
        <v>0</v>
      </c>
      <c r="AA69" s="4" t="s">
        <v>10</v>
      </c>
      <c r="AB69" s="11">
        <f>IFERROR(VLOOKUP(AA69,Curr!$B$2:$C$13,2,FALSE),0)</f>
        <v>10.8</v>
      </c>
      <c r="AC69" s="12">
        <f t="shared" si="5"/>
        <v>0</v>
      </c>
      <c r="AD69" s="12">
        <f t="shared" si="6"/>
        <v>0</v>
      </c>
      <c r="AE69" s="13">
        <f t="shared" si="7"/>
        <v>0</v>
      </c>
    </row>
    <row r="70" spans="2:31" hidden="1" x14ac:dyDescent="0.25">
      <c r="B70" s="4"/>
      <c r="E70" s="3"/>
      <c r="F70" s="3"/>
      <c r="G70" s="24"/>
      <c r="H70" s="24"/>
      <c r="K70" s="4"/>
      <c r="L70" s="4"/>
      <c r="M70" s="4"/>
      <c r="N70" s="4"/>
      <c r="O70" s="4"/>
      <c r="P70" s="33"/>
      <c r="Q70" s="25"/>
      <c r="R70" s="25"/>
      <c r="S70" s="12">
        <f t="shared" ref="S70:S82" si="22">+Q70*R70</f>
        <v>0</v>
      </c>
      <c r="T70" s="5">
        <v>0</v>
      </c>
      <c r="U70" s="12">
        <f t="shared" ref="U70:U82" si="23">S70*(1-T70)</f>
        <v>0</v>
      </c>
      <c r="V70" s="25" t="s">
        <v>10</v>
      </c>
      <c r="W70" s="11">
        <f>IFERROR(VLOOKUP(V70,Curr!$B$2:$C$13,2,FALSE),0)</f>
        <v>10.8</v>
      </c>
      <c r="X70" s="12">
        <f t="shared" ref="X70:X82" si="24">U70*W70</f>
        <v>0</v>
      </c>
      <c r="Y70" s="26">
        <f t="shared" si="17"/>
        <v>0</v>
      </c>
      <c r="Z70" s="12">
        <f t="shared" ref="Z70:Z82" si="25">+Y70*R70</f>
        <v>0</v>
      </c>
      <c r="AA70" s="4" t="s">
        <v>10</v>
      </c>
      <c r="AB70" s="11">
        <f>IFERROR(VLOOKUP(AA70,Curr!$B$2:$C$13,2,FALSE),0)</f>
        <v>10.8</v>
      </c>
      <c r="AC70" s="12">
        <f t="shared" ref="AC70:AC82" si="26">+Y70*AB70*R70</f>
        <v>0</v>
      </c>
      <c r="AD70" s="12">
        <f t="shared" ref="AD70:AD82" si="27">+AC70-X70</f>
        <v>0</v>
      </c>
      <c r="AE70" s="13">
        <f t="shared" ref="AE70:AE82" si="28">IFERROR(AD70/AC70,0)</f>
        <v>0</v>
      </c>
    </row>
    <row r="71" spans="2:31" hidden="1" x14ac:dyDescent="0.25">
      <c r="B71" s="4"/>
      <c r="E71" s="3"/>
      <c r="F71" s="3"/>
      <c r="G71" s="24"/>
      <c r="H71" s="24"/>
      <c r="K71" s="4"/>
      <c r="L71" s="4"/>
      <c r="M71" s="4"/>
      <c r="N71" s="4"/>
      <c r="O71" s="4"/>
      <c r="P71" s="33"/>
      <c r="Q71" s="25"/>
      <c r="R71" s="25"/>
      <c r="S71" s="12">
        <f t="shared" si="22"/>
        <v>0</v>
      </c>
      <c r="T71" s="5">
        <v>0</v>
      </c>
      <c r="U71" s="12">
        <f t="shared" si="23"/>
        <v>0</v>
      </c>
      <c r="V71" s="25" t="s">
        <v>10</v>
      </c>
      <c r="W71" s="11">
        <f>IFERROR(VLOOKUP(V71,Curr!$B$2:$C$13,2,FALSE),0)</f>
        <v>10.8</v>
      </c>
      <c r="X71" s="12">
        <f t="shared" si="24"/>
        <v>0</v>
      </c>
      <c r="Y71" s="26">
        <f t="shared" si="17"/>
        <v>0</v>
      </c>
      <c r="Z71" s="12">
        <f t="shared" si="25"/>
        <v>0</v>
      </c>
      <c r="AA71" s="4" t="s">
        <v>10</v>
      </c>
      <c r="AB71" s="11">
        <f>IFERROR(VLOOKUP(AA71,Curr!$B$2:$C$13,2,FALSE),0)</f>
        <v>10.8</v>
      </c>
      <c r="AC71" s="12">
        <f t="shared" si="26"/>
        <v>0</v>
      </c>
      <c r="AD71" s="12">
        <f t="shared" si="27"/>
        <v>0</v>
      </c>
      <c r="AE71" s="13">
        <f t="shared" si="28"/>
        <v>0</v>
      </c>
    </row>
    <row r="72" spans="2:31" hidden="1" x14ac:dyDescent="0.25">
      <c r="B72" s="4"/>
      <c r="E72" s="3"/>
      <c r="F72" s="3"/>
      <c r="G72" s="24"/>
      <c r="H72" s="24"/>
      <c r="K72" s="4"/>
      <c r="L72" s="4"/>
      <c r="M72" s="4"/>
      <c r="N72" s="4"/>
      <c r="O72" s="4"/>
      <c r="P72" s="33"/>
      <c r="Q72" s="25"/>
      <c r="R72" s="25"/>
      <c r="S72" s="12">
        <f t="shared" si="22"/>
        <v>0</v>
      </c>
      <c r="T72" s="5">
        <v>0</v>
      </c>
      <c r="U72" s="12">
        <f t="shared" si="23"/>
        <v>0</v>
      </c>
      <c r="V72" s="25" t="s">
        <v>10</v>
      </c>
      <c r="W72" s="11">
        <f>IFERROR(VLOOKUP(V72,Curr!$B$2:$C$13,2,FALSE),0)</f>
        <v>10.8</v>
      </c>
      <c r="X72" s="12">
        <f t="shared" si="24"/>
        <v>0</v>
      </c>
      <c r="Y72" s="26">
        <f t="shared" si="17"/>
        <v>0</v>
      </c>
      <c r="Z72" s="12">
        <f t="shared" si="25"/>
        <v>0</v>
      </c>
      <c r="AA72" s="4" t="s">
        <v>10</v>
      </c>
      <c r="AB72" s="11">
        <f>IFERROR(VLOOKUP(AA72,Curr!$B$2:$C$13,2,FALSE),0)</f>
        <v>10.8</v>
      </c>
      <c r="AC72" s="12">
        <f t="shared" si="26"/>
        <v>0</v>
      </c>
      <c r="AD72" s="12">
        <f t="shared" si="27"/>
        <v>0</v>
      </c>
      <c r="AE72" s="13">
        <f t="shared" si="28"/>
        <v>0</v>
      </c>
    </row>
    <row r="73" spans="2:31" hidden="1" x14ac:dyDescent="0.25">
      <c r="B73" s="4"/>
      <c r="E73" s="3"/>
      <c r="F73" s="3"/>
      <c r="G73" s="24"/>
      <c r="H73" s="24"/>
      <c r="K73" s="4"/>
      <c r="L73" s="4"/>
      <c r="M73" s="4"/>
      <c r="N73" s="4"/>
      <c r="O73" s="4"/>
      <c r="P73" s="27"/>
      <c r="Q73" s="25"/>
      <c r="R73" s="25"/>
      <c r="S73" s="12">
        <f t="shared" si="22"/>
        <v>0</v>
      </c>
      <c r="T73" s="5">
        <v>0</v>
      </c>
      <c r="U73" s="12">
        <f t="shared" si="23"/>
        <v>0</v>
      </c>
      <c r="V73" s="25" t="s">
        <v>10</v>
      </c>
      <c r="W73" s="11">
        <f>IFERROR(VLOOKUP(V73,Curr!$B$2:$C$13,2,FALSE),0)</f>
        <v>10.8</v>
      </c>
      <c r="X73" s="12">
        <f t="shared" si="24"/>
        <v>0</v>
      </c>
      <c r="Y73" s="26">
        <f t="shared" si="17"/>
        <v>0</v>
      </c>
      <c r="Z73" s="12">
        <f t="shared" si="25"/>
        <v>0</v>
      </c>
      <c r="AA73" s="4" t="s">
        <v>10</v>
      </c>
      <c r="AB73" s="11">
        <f>IFERROR(VLOOKUP(AA73,Curr!$B$2:$C$13,2,FALSE),0)</f>
        <v>10.8</v>
      </c>
      <c r="AC73" s="12">
        <f t="shared" si="26"/>
        <v>0</v>
      </c>
      <c r="AD73" s="12">
        <f t="shared" si="27"/>
        <v>0</v>
      </c>
      <c r="AE73" s="13">
        <f t="shared" si="28"/>
        <v>0</v>
      </c>
    </row>
    <row r="74" spans="2:31" hidden="1" x14ac:dyDescent="0.25">
      <c r="B74" s="4"/>
      <c r="E74" s="3"/>
      <c r="F74" s="3"/>
      <c r="G74" s="24"/>
      <c r="H74" s="24"/>
      <c r="K74" s="4"/>
      <c r="L74" s="4"/>
      <c r="M74" s="4"/>
      <c r="N74" s="4"/>
      <c r="O74" s="4"/>
      <c r="P74" s="27"/>
      <c r="Q74" s="25"/>
      <c r="R74" s="25"/>
      <c r="S74" s="12">
        <f t="shared" si="22"/>
        <v>0</v>
      </c>
      <c r="T74" s="5">
        <v>0</v>
      </c>
      <c r="U74" s="12">
        <f t="shared" si="23"/>
        <v>0</v>
      </c>
      <c r="V74" s="25" t="s">
        <v>10</v>
      </c>
      <c r="W74" s="11">
        <f>IFERROR(VLOOKUP(V74,Curr!$B$2:$C$13,2,FALSE),0)</f>
        <v>10.8</v>
      </c>
      <c r="X74" s="12">
        <f t="shared" si="24"/>
        <v>0</v>
      </c>
      <c r="Y74" s="26">
        <f t="shared" si="17"/>
        <v>0</v>
      </c>
      <c r="Z74" s="12">
        <f t="shared" si="25"/>
        <v>0</v>
      </c>
      <c r="AA74" s="4" t="s">
        <v>10</v>
      </c>
      <c r="AB74" s="11">
        <f>IFERROR(VLOOKUP(AA74,Curr!$B$2:$C$13,2,FALSE),0)</f>
        <v>10.8</v>
      </c>
      <c r="AC74" s="12">
        <f t="shared" si="26"/>
        <v>0</v>
      </c>
      <c r="AD74" s="12">
        <f t="shared" si="27"/>
        <v>0</v>
      </c>
      <c r="AE74" s="13">
        <f t="shared" si="28"/>
        <v>0</v>
      </c>
    </row>
    <row r="75" spans="2:31" hidden="1" x14ac:dyDescent="0.25">
      <c r="B75" s="4"/>
      <c r="E75" s="3"/>
      <c r="F75" s="3"/>
      <c r="G75" s="24"/>
      <c r="H75" s="24"/>
      <c r="K75" s="4"/>
      <c r="L75" s="4"/>
      <c r="M75" s="4"/>
      <c r="N75" s="4"/>
      <c r="O75" s="4"/>
      <c r="P75" s="27"/>
      <c r="Q75" s="25"/>
      <c r="R75" s="25"/>
      <c r="S75" s="12">
        <f t="shared" si="22"/>
        <v>0</v>
      </c>
      <c r="T75" s="5">
        <v>0</v>
      </c>
      <c r="U75" s="12">
        <f t="shared" si="23"/>
        <v>0</v>
      </c>
      <c r="V75" s="25" t="s">
        <v>10</v>
      </c>
      <c r="W75" s="11">
        <f>IFERROR(VLOOKUP(V75,Curr!$B$2:$C$13,2,FALSE),0)</f>
        <v>10.8</v>
      </c>
      <c r="X75" s="12">
        <f t="shared" si="24"/>
        <v>0</v>
      </c>
      <c r="Y75" s="26">
        <f t="shared" si="17"/>
        <v>0</v>
      </c>
      <c r="Z75" s="12">
        <f t="shared" si="25"/>
        <v>0</v>
      </c>
      <c r="AA75" s="4" t="s">
        <v>10</v>
      </c>
      <c r="AB75" s="11">
        <f>IFERROR(VLOOKUP(AA75,Curr!$B$2:$C$13,2,FALSE),0)</f>
        <v>10.8</v>
      </c>
      <c r="AC75" s="12">
        <f t="shared" si="26"/>
        <v>0</v>
      </c>
      <c r="AD75" s="12">
        <f t="shared" si="27"/>
        <v>0</v>
      </c>
      <c r="AE75" s="13">
        <f t="shared" si="28"/>
        <v>0</v>
      </c>
    </row>
    <row r="76" spans="2:31" hidden="1" x14ac:dyDescent="0.25">
      <c r="B76" s="4"/>
      <c r="E76" s="3"/>
      <c r="F76" s="3"/>
      <c r="G76" s="24"/>
      <c r="H76" s="24"/>
      <c r="K76" s="4"/>
      <c r="L76" s="4"/>
      <c r="M76" s="4"/>
      <c r="N76" s="4"/>
      <c r="O76" s="4"/>
      <c r="P76" s="27"/>
      <c r="Q76" s="25"/>
      <c r="R76" s="25"/>
      <c r="S76" s="12">
        <f t="shared" si="22"/>
        <v>0</v>
      </c>
      <c r="T76" s="5">
        <v>0</v>
      </c>
      <c r="U76" s="12">
        <f t="shared" si="23"/>
        <v>0</v>
      </c>
      <c r="V76" s="25" t="s">
        <v>10</v>
      </c>
      <c r="W76" s="11">
        <f>IFERROR(VLOOKUP(V76,Curr!$B$2:$C$13,2,FALSE),0)</f>
        <v>10.8</v>
      </c>
      <c r="X76" s="12">
        <f t="shared" si="24"/>
        <v>0</v>
      </c>
      <c r="Y76" s="26">
        <f t="shared" si="17"/>
        <v>0</v>
      </c>
      <c r="Z76" s="12">
        <f t="shared" si="25"/>
        <v>0</v>
      </c>
      <c r="AA76" s="4" t="s">
        <v>10</v>
      </c>
      <c r="AB76" s="11">
        <f>IFERROR(VLOOKUP(AA76,Curr!$B$2:$C$13,2,FALSE),0)</f>
        <v>10.8</v>
      </c>
      <c r="AC76" s="12">
        <f t="shared" si="26"/>
        <v>0</v>
      </c>
      <c r="AD76" s="12">
        <f t="shared" si="27"/>
        <v>0</v>
      </c>
      <c r="AE76" s="13">
        <f t="shared" si="28"/>
        <v>0</v>
      </c>
    </row>
    <row r="77" spans="2:31" hidden="1" x14ac:dyDescent="0.25">
      <c r="B77" s="4"/>
      <c r="E77" s="3"/>
      <c r="F77" s="3"/>
      <c r="G77" s="24"/>
      <c r="H77" s="24"/>
      <c r="K77" s="4"/>
      <c r="L77" s="4"/>
      <c r="M77" s="4"/>
      <c r="N77" s="4"/>
      <c r="O77" s="4"/>
      <c r="P77" s="27"/>
      <c r="Q77" s="25"/>
      <c r="R77" s="25"/>
      <c r="S77" s="12">
        <f t="shared" si="22"/>
        <v>0</v>
      </c>
      <c r="T77" s="5">
        <v>0</v>
      </c>
      <c r="U77" s="12">
        <f t="shared" si="23"/>
        <v>0</v>
      </c>
      <c r="V77" s="25" t="s">
        <v>10</v>
      </c>
      <c r="W77" s="11">
        <f>IFERROR(VLOOKUP(V77,Curr!$B$2:$C$13,2,FALSE),0)</f>
        <v>10.8</v>
      </c>
      <c r="X77" s="12">
        <f t="shared" si="24"/>
        <v>0</v>
      </c>
      <c r="Y77" s="26">
        <f t="shared" si="17"/>
        <v>0</v>
      </c>
      <c r="Z77" s="12">
        <f t="shared" si="25"/>
        <v>0</v>
      </c>
      <c r="AA77" s="4" t="s">
        <v>10</v>
      </c>
      <c r="AB77" s="11">
        <f>IFERROR(VLOOKUP(AA77,Curr!$B$2:$C$13,2,FALSE),0)</f>
        <v>10.8</v>
      </c>
      <c r="AC77" s="12">
        <f t="shared" si="26"/>
        <v>0</v>
      </c>
      <c r="AD77" s="12">
        <f t="shared" si="27"/>
        <v>0</v>
      </c>
      <c r="AE77" s="13">
        <f t="shared" si="28"/>
        <v>0</v>
      </c>
    </row>
    <row r="78" spans="2:31" hidden="1" x14ac:dyDescent="0.25">
      <c r="B78" s="4"/>
      <c r="E78" s="3"/>
      <c r="F78" s="3"/>
      <c r="G78" s="24"/>
      <c r="H78" s="24"/>
      <c r="K78" s="4"/>
      <c r="L78" s="4"/>
      <c r="M78" s="4"/>
      <c r="N78" s="4"/>
      <c r="O78" s="4"/>
      <c r="P78" s="27"/>
      <c r="Q78" s="25"/>
      <c r="R78" s="25"/>
      <c r="S78" s="12">
        <f t="shared" si="22"/>
        <v>0</v>
      </c>
      <c r="T78" s="5">
        <v>0</v>
      </c>
      <c r="U78" s="12">
        <f t="shared" si="23"/>
        <v>0</v>
      </c>
      <c r="V78" s="25" t="s">
        <v>10</v>
      </c>
      <c r="W78" s="11">
        <f>IFERROR(VLOOKUP(V78,Curr!$B$2:$C$13,2,FALSE),0)</f>
        <v>10.8</v>
      </c>
      <c r="X78" s="12">
        <f t="shared" si="24"/>
        <v>0</v>
      </c>
      <c r="Y78" s="26">
        <f t="shared" si="17"/>
        <v>0</v>
      </c>
      <c r="Z78" s="12">
        <f t="shared" si="25"/>
        <v>0</v>
      </c>
      <c r="AA78" s="4" t="s">
        <v>10</v>
      </c>
      <c r="AB78" s="11">
        <f>IFERROR(VLOOKUP(AA78,Curr!$B$2:$C$13,2,FALSE),0)</f>
        <v>10.8</v>
      </c>
      <c r="AC78" s="12">
        <f t="shared" si="26"/>
        <v>0</v>
      </c>
      <c r="AD78" s="12">
        <f t="shared" si="27"/>
        <v>0</v>
      </c>
      <c r="AE78" s="13">
        <f t="shared" si="28"/>
        <v>0</v>
      </c>
    </row>
    <row r="79" spans="2:31" hidden="1" x14ac:dyDescent="0.25">
      <c r="B79" s="4"/>
      <c r="E79" s="3"/>
      <c r="F79" s="3"/>
      <c r="G79" s="24"/>
      <c r="H79" s="24"/>
      <c r="K79" s="4"/>
      <c r="L79" s="4"/>
      <c r="M79" s="4"/>
      <c r="N79" s="4"/>
      <c r="O79" s="4"/>
      <c r="P79" s="27"/>
      <c r="Q79" s="25"/>
      <c r="R79" s="25"/>
      <c r="S79" s="12">
        <f t="shared" si="22"/>
        <v>0</v>
      </c>
      <c r="T79" s="5">
        <v>0</v>
      </c>
      <c r="U79" s="12">
        <f t="shared" si="23"/>
        <v>0</v>
      </c>
      <c r="V79" s="25" t="s">
        <v>10</v>
      </c>
      <c r="W79" s="11">
        <f>IFERROR(VLOOKUP(V79,Curr!$B$2:$C$13,2,FALSE),0)</f>
        <v>10.8</v>
      </c>
      <c r="X79" s="12">
        <f t="shared" si="24"/>
        <v>0</v>
      </c>
      <c r="Y79" s="26">
        <f t="shared" si="17"/>
        <v>0</v>
      </c>
      <c r="Z79" s="12">
        <f t="shared" si="25"/>
        <v>0</v>
      </c>
      <c r="AA79" s="4" t="s">
        <v>10</v>
      </c>
      <c r="AB79" s="11">
        <f>IFERROR(VLOOKUP(AA79,Curr!$B$2:$C$13,2,FALSE),0)</f>
        <v>10.8</v>
      </c>
      <c r="AC79" s="12">
        <f t="shared" si="26"/>
        <v>0</v>
      </c>
      <c r="AD79" s="12">
        <f t="shared" si="27"/>
        <v>0</v>
      </c>
      <c r="AE79" s="13">
        <f t="shared" si="28"/>
        <v>0</v>
      </c>
    </row>
    <row r="80" spans="2:31" hidden="1" x14ac:dyDescent="0.25">
      <c r="B80" s="4"/>
      <c r="E80" s="3"/>
      <c r="F80" s="3"/>
      <c r="G80" s="24"/>
      <c r="H80" s="24"/>
      <c r="K80" s="4"/>
      <c r="L80" s="4"/>
      <c r="M80" s="4"/>
      <c r="N80" s="4"/>
      <c r="O80" s="4"/>
      <c r="P80" s="33"/>
      <c r="Q80" s="25"/>
      <c r="R80" s="25"/>
      <c r="S80" s="12">
        <f t="shared" si="22"/>
        <v>0</v>
      </c>
      <c r="T80" s="5">
        <v>0</v>
      </c>
      <c r="U80" s="12">
        <f t="shared" si="23"/>
        <v>0</v>
      </c>
      <c r="V80" s="25" t="s">
        <v>10</v>
      </c>
      <c r="W80" s="11">
        <f>IFERROR(VLOOKUP(V80,Curr!$B$2:$C$13,2,FALSE),0)</f>
        <v>10.8</v>
      </c>
      <c r="X80" s="12">
        <f t="shared" si="24"/>
        <v>0</v>
      </c>
      <c r="Y80" s="26">
        <f t="shared" si="17"/>
        <v>0</v>
      </c>
      <c r="Z80" s="12">
        <f t="shared" si="25"/>
        <v>0</v>
      </c>
      <c r="AA80" s="4" t="s">
        <v>10</v>
      </c>
      <c r="AB80" s="11">
        <f>IFERROR(VLOOKUP(AA80,Curr!$B$2:$C$13,2,FALSE),0)</f>
        <v>10.8</v>
      </c>
      <c r="AC80" s="12">
        <f t="shared" si="26"/>
        <v>0</v>
      </c>
      <c r="AD80" s="12">
        <f t="shared" si="27"/>
        <v>0</v>
      </c>
      <c r="AE80" s="13">
        <f t="shared" si="28"/>
        <v>0</v>
      </c>
    </row>
    <row r="81" spans="2:36" hidden="1" x14ac:dyDescent="0.25">
      <c r="B81" s="4"/>
      <c r="E81" s="3"/>
      <c r="F81" s="3"/>
      <c r="G81" s="24"/>
      <c r="H81" s="24"/>
      <c r="K81" s="4"/>
      <c r="L81" s="4"/>
      <c r="M81" s="4"/>
      <c r="N81" s="4"/>
      <c r="O81" s="4"/>
      <c r="P81" s="27"/>
      <c r="Q81" s="25"/>
      <c r="R81" s="25"/>
      <c r="S81" s="12">
        <f t="shared" si="22"/>
        <v>0</v>
      </c>
      <c r="T81" s="5">
        <v>0</v>
      </c>
      <c r="U81" s="12">
        <f t="shared" si="23"/>
        <v>0</v>
      </c>
      <c r="V81" s="25" t="s">
        <v>10</v>
      </c>
      <c r="W81" s="11">
        <f>IFERROR(VLOOKUP(V81,Curr!$B$2:$C$13,2,FALSE),0)</f>
        <v>10.8</v>
      </c>
      <c r="X81" s="12">
        <f t="shared" si="24"/>
        <v>0</v>
      </c>
      <c r="Y81" s="26">
        <f t="shared" si="17"/>
        <v>0</v>
      </c>
      <c r="Z81" s="12">
        <f t="shared" si="25"/>
        <v>0</v>
      </c>
      <c r="AA81" s="4" t="s">
        <v>10</v>
      </c>
      <c r="AB81" s="11">
        <f>IFERROR(VLOOKUP(AA81,Curr!$B$2:$C$13,2,FALSE),0)</f>
        <v>10.8</v>
      </c>
      <c r="AC81" s="12">
        <f t="shared" si="26"/>
        <v>0</v>
      </c>
      <c r="AD81" s="12">
        <f t="shared" si="27"/>
        <v>0</v>
      </c>
      <c r="AE81" s="13">
        <f t="shared" si="28"/>
        <v>0</v>
      </c>
    </row>
    <row r="82" spans="2:36" hidden="1" x14ac:dyDescent="0.25">
      <c r="B82" s="4"/>
      <c r="E82" s="3"/>
      <c r="F82" s="3"/>
      <c r="G82" s="24"/>
      <c r="H82" s="24"/>
      <c r="K82" s="4"/>
      <c r="L82" s="4"/>
      <c r="M82" s="4"/>
      <c r="N82" s="4"/>
      <c r="O82" s="4"/>
      <c r="P82" s="33"/>
      <c r="Q82" s="25"/>
      <c r="R82" s="25"/>
      <c r="S82" s="12">
        <f t="shared" si="22"/>
        <v>0</v>
      </c>
      <c r="T82" s="5">
        <v>0</v>
      </c>
      <c r="U82" s="12">
        <f t="shared" si="23"/>
        <v>0</v>
      </c>
      <c r="V82" s="25" t="s">
        <v>10</v>
      </c>
      <c r="W82" s="11">
        <f>IFERROR(VLOOKUP(V82,Curr!$B$2:$C$13,2,FALSE),0)</f>
        <v>10.8</v>
      </c>
      <c r="X82" s="12">
        <f t="shared" si="24"/>
        <v>0</v>
      </c>
      <c r="Y82" s="26">
        <f t="shared" si="17"/>
        <v>0</v>
      </c>
      <c r="Z82" s="12">
        <f t="shared" si="25"/>
        <v>0</v>
      </c>
      <c r="AA82" s="4" t="s">
        <v>10</v>
      </c>
      <c r="AB82" s="11">
        <f>IFERROR(VLOOKUP(AA82,Curr!$B$2:$C$13,2,FALSE),0)</f>
        <v>10.8</v>
      </c>
      <c r="AC82" s="12">
        <f t="shared" si="26"/>
        <v>0</v>
      </c>
      <c r="AD82" s="12">
        <f t="shared" si="27"/>
        <v>0</v>
      </c>
      <c r="AE82" s="13">
        <f t="shared" si="28"/>
        <v>0</v>
      </c>
    </row>
    <row r="83" spans="2:36" hidden="1" x14ac:dyDescent="0.25">
      <c r="B83" s="4"/>
      <c r="E83" s="3"/>
      <c r="F83" s="3"/>
      <c r="G83" s="3"/>
      <c r="H83" s="3"/>
      <c r="L83" s="4"/>
      <c r="M83" s="4"/>
      <c r="N83" s="4"/>
      <c r="O83" s="4"/>
      <c r="P83" s="22"/>
      <c r="Q83" s="4"/>
      <c r="R83" s="4"/>
      <c r="S83" s="4"/>
      <c r="T83" s="4"/>
      <c r="U83" s="4"/>
      <c r="V83" s="4"/>
      <c r="W83" s="4"/>
      <c r="X83" s="4"/>
      <c r="Y83" s="4"/>
      <c r="Z83" s="4"/>
      <c r="AA83" s="4"/>
      <c r="AB83" s="4"/>
      <c r="AC83" s="4"/>
      <c r="AD83" s="4"/>
      <c r="AE83" s="4"/>
      <c r="AF83" s="4"/>
    </row>
    <row r="84" spans="2:36" hidden="1" x14ac:dyDescent="0.25">
      <c r="B84" s="14" t="s">
        <v>18</v>
      </c>
      <c r="C84" s="14"/>
      <c r="D84" s="28" t="s">
        <v>42</v>
      </c>
      <c r="E84" s="30" t="s">
        <v>42</v>
      </c>
      <c r="F84" s="30" t="s">
        <v>42</v>
      </c>
      <c r="G84" s="30" t="s">
        <v>42</v>
      </c>
      <c r="H84" s="30" t="s">
        <v>42</v>
      </c>
      <c r="I84" s="28" t="s">
        <v>42</v>
      </c>
      <c r="J84" s="28" t="s">
        <v>42</v>
      </c>
      <c r="K84" s="28" t="s">
        <v>42</v>
      </c>
      <c r="L84" s="28" t="s">
        <v>42</v>
      </c>
      <c r="M84" s="28" t="s">
        <v>42</v>
      </c>
      <c r="N84" s="28" t="s">
        <v>42</v>
      </c>
      <c r="O84" s="28" t="s">
        <v>42</v>
      </c>
      <c r="P84" s="28" t="s">
        <v>42</v>
      </c>
      <c r="Q84" s="31" t="s">
        <v>42</v>
      </c>
      <c r="R84" s="28" t="s">
        <v>42</v>
      </c>
      <c r="S84" s="32" t="s">
        <v>42</v>
      </c>
      <c r="T84" s="28" t="s">
        <v>42</v>
      </c>
      <c r="U84" s="32" t="s">
        <v>42</v>
      </c>
      <c r="V84" s="28" t="s">
        <v>42</v>
      </c>
      <c r="W84" s="28" t="s">
        <v>42</v>
      </c>
      <c r="X84" s="32" t="s">
        <v>42</v>
      </c>
      <c r="Y84" s="32" t="s">
        <v>42</v>
      </c>
      <c r="Z84" s="15">
        <f>SUM(Z7:Z82)</f>
        <v>29053.994058229353</v>
      </c>
      <c r="AA84" s="14"/>
      <c r="AB84" s="14"/>
      <c r="AC84" s="15">
        <f>SUM(AC7:AC82)</f>
        <v>313783.13582887704</v>
      </c>
      <c r="AD84" s="15">
        <f>SUM(AD7:AD82)</f>
        <v>60910.375828877011</v>
      </c>
      <c r="AE84" s="21">
        <f t="shared" ref="AE84" si="29">IFERROR(AD84/AC84,0)</f>
        <v>0.19411615499341156</v>
      </c>
      <c r="AF84" s="15">
        <f>SUM(AF8:AF83)</f>
        <v>0</v>
      </c>
      <c r="AG84" s="15">
        <f>SUM(AG8:AG83)</f>
        <v>0</v>
      </c>
      <c r="AH84" s="15">
        <f>SUM(AH8:AH83)</f>
        <v>0</v>
      </c>
      <c r="AI84" s="15">
        <f>SUM(AI8:AI83)</f>
        <v>0</v>
      </c>
      <c r="AJ84" s="15">
        <f>SUM(AJ8:AJ83)</f>
        <v>0</v>
      </c>
    </row>
    <row r="85" spans="2:36" x14ac:dyDescent="0.25">
      <c r="B85" s="4"/>
      <c r="E85" s="3"/>
      <c r="F85" s="3"/>
      <c r="G85" s="3"/>
      <c r="H85" s="3"/>
      <c r="L85" s="4"/>
      <c r="M85" s="4"/>
      <c r="N85" s="4"/>
      <c r="O85" s="4"/>
      <c r="Q85" s="4"/>
      <c r="R85" s="4"/>
      <c r="S85" s="4"/>
      <c r="T85" s="4"/>
      <c r="U85" s="4"/>
      <c r="V85" s="4"/>
      <c r="W85" s="4"/>
      <c r="X85" s="4"/>
      <c r="Y85" s="9"/>
      <c r="Z85" s="9"/>
      <c r="AA85" s="9"/>
      <c r="AB85" s="9"/>
      <c r="AC85" s="9"/>
      <c r="AD85" s="9"/>
      <c r="AE85" s="9"/>
    </row>
    <row r="86" spans="2:36" x14ac:dyDescent="0.25">
      <c r="B86" s="4"/>
      <c r="E86" s="3"/>
      <c r="F86" s="3"/>
      <c r="G86" s="3"/>
      <c r="H86" s="3"/>
      <c r="L86" s="4"/>
      <c r="M86" s="4"/>
      <c r="N86" s="4"/>
      <c r="O86" s="4"/>
      <c r="Q86" s="9"/>
      <c r="R86" s="9"/>
      <c r="S86" s="9"/>
      <c r="T86" s="9"/>
      <c r="U86" s="9"/>
      <c r="V86" s="9"/>
      <c r="W86" s="9"/>
      <c r="X86" s="23"/>
      <c r="Y86" s="34" t="s">
        <v>43</v>
      </c>
      <c r="Z86" s="34">
        <v>29060</v>
      </c>
      <c r="AA86" s="9"/>
      <c r="AB86" s="9"/>
      <c r="AC86" s="9"/>
      <c r="AD86" s="9"/>
      <c r="AE86" s="9"/>
    </row>
    <row r="87" spans="2:36" x14ac:dyDescent="0.25">
      <c r="B87" s="4"/>
      <c r="E87" s="3"/>
      <c r="F87" s="3"/>
      <c r="G87" s="3"/>
      <c r="H87" s="3"/>
      <c r="L87" s="4"/>
      <c r="M87" s="4"/>
      <c r="N87" s="4"/>
      <c r="O87" s="4"/>
      <c r="Q87" s="36"/>
      <c r="R87" s="9" t="s">
        <v>32</v>
      </c>
      <c r="S87" s="9"/>
      <c r="T87" s="9"/>
      <c r="U87" s="9"/>
      <c r="V87" s="9"/>
      <c r="W87" s="9"/>
      <c r="X87" s="9"/>
      <c r="Y87" s="34" t="s">
        <v>44</v>
      </c>
      <c r="Z87" s="34">
        <f>Z86/4</f>
        <v>7265</v>
      </c>
      <c r="AA87" s="9"/>
      <c r="AB87" s="9"/>
      <c r="AC87" s="9"/>
      <c r="AD87" s="9"/>
      <c r="AE87" s="9"/>
      <c r="AF87" s="18"/>
    </row>
    <row r="88" spans="2:36" x14ac:dyDescent="0.25">
      <c r="B88" s="4"/>
      <c r="E88" s="3"/>
      <c r="F88" s="3"/>
      <c r="G88" s="3"/>
      <c r="H88" s="3"/>
      <c r="I88" s="19"/>
      <c r="J88" s="35"/>
      <c r="L88" s="4"/>
      <c r="M88" s="4"/>
      <c r="N88" s="4"/>
      <c r="O88" s="20"/>
      <c r="Q88" s="37"/>
      <c r="R88" s="20" t="s">
        <v>32</v>
      </c>
      <c r="S88" s="20"/>
      <c r="T88" s="20"/>
      <c r="U88" s="20"/>
      <c r="V88" s="20"/>
      <c r="W88" s="20"/>
      <c r="X88" s="20"/>
      <c r="Y88" s="9"/>
      <c r="Z88" s="9"/>
      <c r="AA88" s="9"/>
      <c r="AB88" s="9"/>
      <c r="AC88" s="9"/>
      <c r="AD88" s="9"/>
      <c r="AE88" s="9"/>
      <c r="AF88" s="18"/>
    </row>
    <row r="89" spans="2:36" x14ac:dyDescent="0.25">
      <c r="B89" s="4"/>
      <c r="E89" s="3"/>
      <c r="F89" s="3"/>
      <c r="G89" s="3"/>
      <c r="H89" s="3"/>
      <c r="L89" s="4"/>
      <c r="M89" s="4"/>
      <c r="N89" s="4"/>
      <c r="O89" s="20"/>
      <c r="Q89" s="37"/>
      <c r="R89" s="20" t="s">
        <v>32</v>
      </c>
      <c r="S89" s="20"/>
      <c r="T89" s="20"/>
      <c r="U89" s="20"/>
      <c r="V89" s="20"/>
      <c r="W89" s="20"/>
      <c r="X89" s="20"/>
      <c r="Y89" s="34" t="s">
        <v>31</v>
      </c>
      <c r="Z89" s="34">
        <v>33400</v>
      </c>
      <c r="AA89" s="9"/>
      <c r="AB89" s="9"/>
      <c r="AC89" s="9"/>
      <c r="AD89" s="9"/>
      <c r="AE89" s="9"/>
      <c r="AF89" s="18"/>
    </row>
    <row r="90" spans="2:36" x14ac:dyDescent="0.25">
      <c r="B90" s="4"/>
      <c r="E90" s="3"/>
      <c r="F90" s="3"/>
      <c r="G90" s="3"/>
      <c r="H90" s="3"/>
      <c r="L90" s="4"/>
      <c r="M90" s="4"/>
      <c r="N90" s="4"/>
      <c r="O90" s="4"/>
      <c r="Q90" s="9"/>
      <c r="R90" s="9"/>
      <c r="S90" s="9"/>
      <c r="T90" s="9"/>
      <c r="U90" s="9"/>
      <c r="V90" s="9"/>
      <c r="W90" s="9"/>
      <c r="X90" s="9"/>
      <c r="Y90" s="34" t="s">
        <v>44</v>
      </c>
      <c r="Z90" s="34">
        <f>Z89/4</f>
        <v>8350</v>
      </c>
      <c r="AA90" s="9"/>
      <c r="AB90" s="9"/>
      <c r="AC90" s="9"/>
      <c r="AD90" s="9"/>
      <c r="AE90" s="9"/>
      <c r="AF90" s="18"/>
    </row>
    <row r="91" spans="2:36" x14ac:dyDescent="0.25">
      <c r="F91" s="1"/>
      <c r="G91" s="1"/>
      <c r="H91" s="1"/>
      <c r="J91" s="1" t="s">
        <v>32</v>
      </c>
      <c r="Q91" s="9"/>
      <c r="R91" s="4"/>
      <c r="S91" s="9"/>
      <c r="T91" s="5"/>
      <c r="U91" s="9"/>
      <c r="V91" s="4"/>
      <c r="W91" s="4"/>
      <c r="X91" s="9"/>
      <c r="Y91" s="9"/>
      <c r="Z91" s="9"/>
      <c r="AA91" s="9"/>
      <c r="AB91" s="9"/>
      <c r="AC91" s="9"/>
      <c r="AD91" s="9"/>
      <c r="AE91" s="9"/>
    </row>
    <row r="92" spans="2:36" x14ac:dyDescent="0.25">
      <c r="R92" s="4"/>
      <c r="S92" s="17"/>
      <c r="T92" s="17"/>
      <c r="U92" s="9"/>
      <c r="V92" s="4"/>
      <c r="W92" s="4"/>
      <c r="X92" s="9"/>
      <c r="Y92" s="9"/>
      <c r="Z92" s="9"/>
      <c r="AA92" s="9"/>
      <c r="AB92" s="9"/>
      <c r="AC92" s="9"/>
      <c r="AD92" s="9"/>
      <c r="AE92" s="9"/>
    </row>
    <row r="93" spans="2:36" x14ac:dyDescent="0.25">
      <c r="Q93" s="9"/>
      <c r="R93" s="4"/>
      <c r="S93" s="16"/>
      <c r="T93" s="16"/>
      <c r="U93" s="9"/>
      <c r="V93" s="4"/>
      <c r="W93" s="4"/>
      <c r="X93" s="9"/>
      <c r="Y93" s="9"/>
      <c r="Z93" s="9"/>
      <c r="AA93" s="9"/>
      <c r="AB93" s="9"/>
      <c r="AC93" s="9"/>
      <c r="AD93" s="9"/>
      <c r="AE93" s="9"/>
    </row>
    <row r="94" spans="2:36" x14ac:dyDescent="0.25">
      <c r="R94" s="4"/>
      <c r="S94" s="16"/>
      <c r="T94" s="16"/>
      <c r="Y94" s="9"/>
      <c r="Z94" s="9"/>
      <c r="AA94" s="9"/>
      <c r="AB94" s="9"/>
      <c r="AC94" s="9"/>
      <c r="AD94" s="9"/>
      <c r="AE94" s="9"/>
    </row>
    <row r="95" spans="2:36" x14ac:dyDescent="0.25">
      <c r="T95" s="5"/>
      <c r="Y95" s="9"/>
      <c r="Z95" s="9"/>
      <c r="AA95" s="9"/>
      <c r="AB95" s="9"/>
      <c r="AC95" s="9"/>
      <c r="AD95" s="9"/>
      <c r="AE95" s="9"/>
    </row>
    <row r="96" spans="2:36" x14ac:dyDescent="0.25">
      <c r="T96" s="5"/>
      <c r="Y96" s="9"/>
      <c r="Z96" s="9"/>
      <c r="AA96" s="9"/>
      <c r="AB96" s="9"/>
      <c r="AC96" s="9"/>
      <c r="AD96" s="9"/>
      <c r="AE96" s="9"/>
    </row>
    <row r="97" spans="20:31" x14ac:dyDescent="0.25">
      <c r="T97" s="5"/>
      <c r="Y97" s="9"/>
      <c r="Z97" s="9"/>
      <c r="AA97" s="9"/>
      <c r="AB97" s="9"/>
      <c r="AC97" s="9"/>
      <c r="AD97" s="9"/>
      <c r="AE97" s="9"/>
    </row>
    <row r="98" spans="20:31" x14ac:dyDescent="0.25">
      <c r="T98" s="5"/>
      <c r="Y98" s="9"/>
      <c r="Z98" s="9"/>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row>
    <row r="104" spans="20:31" x14ac:dyDescent="0.25">
      <c r="T104" s="5"/>
    </row>
    <row r="105" spans="20:31" x14ac:dyDescent="0.25">
      <c r="T105" s="5"/>
    </row>
    <row r="106" spans="20:31" x14ac:dyDescent="0.25">
      <c r="T106" s="5"/>
    </row>
    <row r="107" spans="20:31" x14ac:dyDescent="0.25">
      <c r="T107" s="5"/>
    </row>
  </sheetData>
  <autoFilter ref="B6:AE84" xr:uid="{65FA6D9B-E0AF-46CD-BA0D-86BB75FE6AB0}">
    <filterColumn colId="2">
      <filters>
        <filter val="Hotel"/>
      </filters>
    </filterColumn>
  </autoFilter>
  <hyperlinks>
    <hyperlink ref="P36" r:id="rId1" display="https://www.sas.no/book/flights/?search=OW_KEF-OSL-20260703_a4c0i0y0&amp;view=upsell&amp;bookingFlow=revenue&amp;out_flight_number=SK4788&amp;skyscanner_redirectid=RhZvBkUmTrSXl9DScsN5CA&amp;utm_source=skyscanner&amp;utm_medium=metasearch&amp;utm_campaign=skyscanner_metasearch&amp;sortBy=rec&amp;out_class=ECONOMY&amp;out_sub_class=FLEX" xr:uid="{F3998134-9717-446F-8878-391C16E8C66E}"/>
    <hyperlink ref="P41" r:id="rId2" xr:uid="{A7407DF3-B28F-4002-AD3D-D6DB1C0AFB45}"/>
    <hyperlink ref="P45" r:id="rId3" xr:uid="{8B9BCC16-5AB4-48B7-BD0D-8ADD8DC59817}"/>
    <hyperlink ref="P38" r:id="rId4" xr:uid="{5D8AE2A6-84AF-47B8-A07D-1C0EF3C7CA37}"/>
    <hyperlink ref="P46" r:id="rId5" xr:uid="{768D71D4-A536-401F-9485-6B364102CDCF}"/>
    <hyperlink ref="P50" r:id="rId6" xr:uid="{B56EA4F0-14A8-4A42-ABAF-65AC79C571E8}"/>
    <hyperlink ref="P54" r:id="rId7" xr:uid="{9695C47A-3AD8-47C2-928A-0BD66E503A53}"/>
    <hyperlink ref="P55" r:id="rId8" location="/select-flight" xr:uid="{6A7AE47E-FA4D-46C2-93F6-33D7C0C9B2AA}"/>
    <hyperlink ref="P47" r:id="rId9" xr:uid="{947A7A6C-04FC-4286-AEA8-F73E9865AD88}"/>
    <hyperlink ref="P58" r:id="rId10" xr:uid="{92B15F1E-5E7C-4E97-AE88-3F9A797A263E}"/>
    <hyperlink ref="P61" r:id="rId11" xr:uid="{5AB7A430-337E-45D9-AEC9-8937A9ECA948}"/>
    <hyperlink ref="P56" r:id="rId12" display="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xr:uid="{839E1948-E590-4F16-BB3F-0EDA7BB7B3F3}"/>
    <hyperlink ref="P11" r:id="rId13" xr:uid="{EE07A096-B7E6-48C9-A2EB-DF5EA2EF1BB6}"/>
    <hyperlink ref="P52" r:id="rId14" xr:uid="{24CB7C5B-DC77-464B-A9F1-7D0D6C55EF36}"/>
    <hyperlink ref="P17" r:id="rId15" xr:uid="{9225183B-CFE2-4FDE-8C1F-7D6395864F75}"/>
    <hyperlink ref="P16" r:id="rId16" display="https://www.ratehawk.com/hotel/iceland/vik_i_myrdal/mid7524341/hotel_hofdabrekka_country_hotel/?q=6130429&amp;dates=28.06.2026-29.06.2026&amp;guests=2-2&amp;price=one&amp;room=s-4b7be616-a7ab-54cb-b360-ab272d394495&amp;serp_price=hotel_hofdabrekka_country_hotel.1024.EUR.sr-019dca54-01ba-7752-ba4c-3359ccd14445&amp;sid=3df2c763-9f7f-4b9a-81f6-f56ee01c47f2" xr:uid="{88125DAB-8BFE-48FA-ACAF-F0E7FD616174}"/>
    <hyperlink ref="P20" r:id="rId17" xr:uid="{6C2D43AB-6520-4094-9179-57F6513057EA}"/>
    <hyperlink ref="P31" r:id="rId18" xr:uid="{C0F9FF87-5B0A-4006-9333-68DA3BB5D1B6}"/>
    <hyperlink ref="P27" r:id="rId19" xr:uid="{A993016C-20FF-413C-85BE-6AB9182E62E8}"/>
    <hyperlink ref="P9" r:id="rId20" display="https://www.ratehawk.com/hotel/iceland/reykjavik/mid10212475/hotel_reykjavik_saga/?q=6035025&amp;dates=26.06.2026-28.06.2026&amp;guests=2-2&amp;meal_types=allInclusive.fullBoard.halfBoard.breakfast&amp;payment=freecancellation&amp;price=one&amp;sid=bd4ceea8-4312-4aba-9bd5-a653a409eb9f" xr:uid="{29237D56-F3CA-45BE-9BE4-DA4C157EC112}"/>
  </hyperlinks>
  <pageMargins left="0.7" right="0.7" top="0.75" bottom="0.75" header="0.3" footer="0.3"/>
  <pageSetup paperSize="9" orientation="portrait" r:id="rId2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791CD-2553-439D-AABD-139C130BEF35}">
  <sheetPr>
    <tabColor rgb="FFFFFF00"/>
  </sheetPr>
  <dimension ref="B1:AJ108"/>
  <sheetViews>
    <sheetView topLeftCell="A21" zoomScale="80" zoomScaleNormal="80" workbookViewId="0">
      <selection activeCell="J45" sqref="J45"/>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customWidth="1" outlineLevel="1"/>
    <col min="9" max="9" width="21.7109375" style="1" customWidth="1" outlineLevel="1"/>
    <col min="10" max="10" width="53.85546875" style="1" customWidth="1"/>
    <col min="11" max="12" width="8.140625" style="1" customWidth="1" outlineLevel="1"/>
    <col min="13" max="13" width="24" style="1" customWidth="1" outlineLevel="1"/>
    <col min="14" max="15" width="11.7109375" style="1" customWidth="1" outlineLevel="1"/>
    <col min="16" max="16" width="8.140625" style="1" customWidth="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customWidth="1" outlineLevel="1"/>
    <col min="37" max="82" width="9" style="1" customWidth="1"/>
    <col min="83" max="16384" width="8.7109375" style="1"/>
  </cols>
  <sheetData>
    <row r="1" spans="2:36" x14ac:dyDescent="0.25">
      <c r="B1" s="2" t="s">
        <v>244</v>
      </c>
    </row>
    <row r="2" spans="2:36" x14ac:dyDescent="0.25">
      <c r="B2" s="2" t="s">
        <v>212</v>
      </c>
    </row>
    <row r="3" spans="2:36" x14ac:dyDescent="0.25">
      <c r="B3" s="2" t="s">
        <v>45</v>
      </c>
    </row>
    <row r="4" spans="2:36" x14ac:dyDescent="0.25">
      <c r="B4" s="2" t="s">
        <v>46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t="s">
        <v>77</v>
      </c>
      <c r="F7" s="3"/>
      <c r="G7" s="3"/>
      <c r="H7" s="3"/>
      <c r="J7" s="1" t="s">
        <v>247</v>
      </c>
      <c r="K7" s="4"/>
      <c r="L7" s="4"/>
      <c r="M7" s="4"/>
      <c r="N7" s="4"/>
      <c r="O7" s="4"/>
      <c r="P7" s="27"/>
      <c r="Q7" s="25">
        <v>0</v>
      </c>
      <c r="R7" s="25">
        <v>0</v>
      </c>
      <c r="S7" s="12">
        <f t="shared" ref="S7:S10" si="0">+Q7*R7</f>
        <v>0</v>
      </c>
      <c r="T7" s="5">
        <v>0</v>
      </c>
      <c r="U7" s="12">
        <f t="shared" ref="U7:U10" si="1">S7*(1-T7)</f>
        <v>0</v>
      </c>
      <c r="V7" s="25" t="s">
        <v>10</v>
      </c>
      <c r="W7" s="11">
        <f>IFERROR(VLOOKUP(V7,Curr!$B$2:$C$13,2,FALSE),0)</f>
        <v>10.8</v>
      </c>
      <c r="X7" s="12">
        <f t="shared" ref="X7:X10" si="2">U7*W7</f>
        <v>0</v>
      </c>
      <c r="Y7" s="26">
        <f t="shared" ref="Y7" si="3">Q7</f>
        <v>0</v>
      </c>
      <c r="Z7" s="12">
        <f t="shared" ref="Z7" si="4">+Y7*R7</f>
        <v>0</v>
      </c>
      <c r="AA7" s="4" t="s">
        <v>10</v>
      </c>
      <c r="AB7" s="11">
        <f>IFERROR(VLOOKUP(AA7,Curr!$B$2:$C$13,2,FALSE),0)</f>
        <v>10.8</v>
      </c>
      <c r="AC7" s="12">
        <f t="shared" ref="AC7" si="5">+Y7*AB7*R7</f>
        <v>0</v>
      </c>
      <c r="AD7" s="12">
        <f t="shared" ref="AD7" si="6">+AC7-X7</f>
        <v>0</v>
      </c>
      <c r="AE7" s="13">
        <f t="shared" ref="AE7" si="7">IFERROR(AD7/AC7,0)</f>
        <v>0</v>
      </c>
    </row>
    <row r="8" spans="2:36" x14ac:dyDescent="0.25">
      <c r="B8" s="4"/>
      <c r="E8" s="3" t="s">
        <v>77</v>
      </c>
      <c r="F8" s="3"/>
      <c r="G8" s="24"/>
      <c r="H8" s="24"/>
      <c r="J8" s="1" t="s">
        <v>100</v>
      </c>
      <c r="K8" s="4"/>
      <c r="L8" s="4"/>
      <c r="M8" s="4"/>
      <c r="N8" s="4"/>
      <c r="O8" s="4"/>
      <c r="P8" s="33"/>
      <c r="Q8" s="25">
        <v>1900</v>
      </c>
      <c r="R8" s="25">
        <v>1</v>
      </c>
      <c r="S8" s="12">
        <f t="shared" si="0"/>
        <v>1900</v>
      </c>
      <c r="T8" s="5">
        <v>0</v>
      </c>
      <c r="U8" s="12">
        <f t="shared" si="1"/>
        <v>1900</v>
      </c>
      <c r="V8" s="25" t="s">
        <v>8</v>
      </c>
      <c r="W8" s="11">
        <f>IFERROR(VLOOKUP(V8,Curr!$B$2:$C$13,2,FALSE),0)</f>
        <v>1</v>
      </c>
      <c r="X8" s="12">
        <f t="shared" si="2"/>
        <v>1900</v>
      </c>
      <c r="Y8" s="26">
        <f>Q8/11/0.8</f>
        <v>215.90909090909088</v>
      </c>
      <c r="Z8" s="12">
        <f t="shared" ref="Z8:Z71" si="8">+Y8*R8</f>
        <v>215.90909090909088</v>
      </c>
      <c r="AA8" s="4" t="s">
        <v>10</v>
      </c>
      <c r="AB8" s="11">
        <f>IFERROR(VLOOKUP(AA8,Curr!$B$2:$C$13,2,FALSE),0)</f>
        <v>10.8</v>
      </c>
      <c r="AC8" s="12">
        <f t="shared" ref="AC8:AC71" si="9">+Y8*AB8*R8</f>
        <v>2331.8181818181815</v>
      </c>
      <c r="AD8" s="12">
        <f t="shared" ref="AD8:AD71" si="10">+AC8-X8</f>
        <v>431.81818181818153</v>
      </c>
      <c r="AE8" s="13">
        <f t="shared" ref="AE8:AE71" si="11">IFERROR(AD8/AC8,0)</f>
        <v>0.18518518518518509</v>
      </c>
    </row>
    <row r="9" spans="2:36" x14ac:dyDescent="0.25">
      <c r="B9" s="4"/>
      <c r="E9" s="3" t="s">
        <v>77</v>
      </c>
      <c r="F9" s="3"/>
      <c r="G9" s="24"/>
      <c r="H9" s="24"/>
      <c r="J9" s="1" t="s">
        <v>195</v>
      </c>
      <c r="K9" s="4"/>
      <c r="L9" s="4"/>
      <c r="M9" s="4" t="s">
        <v>246</v>
      </c>
      <c r="N9" s="4"/>
      <c r="O9" s="4"/>
      <c r="P9" s="33" t="s">
        <v>196</v>
      </c>
      <c r="Q9" s="25">
        <v>2051</v>
      </c>
      <c r="R9" s="25">
        <v>1</v>
      </c>
      <c r="S9" s="12">
        <f t="shared" si="0"/>
        <v>2051</v>
      </c>
      <c r="T9" s="5">
        <v>0</v>
      </c>
      <c r="U9" s="12">
        <f t="shared" si="1"/>
        <v>2051</v>
      </c>
      <c r="V9" s="25" t="s">
        <v>10</v>
      </c>
      <c r="W9" s="11">
        <f>IFERROR(VLOOKUP(V9,Curr!$B$2:$C$13,2,FALSE),0)</f>
        <v>10.8</v>
      </c>
      <c r="X9" s="12">
        <f t="shared" si="2"/>
        <v>22150.800000000003</v>
      </c>
      <c r="Y9" s="26">
        <f>Q9/0.85</f>
        <v>2412.9411764705883</v>
      </c>
      <c r="Z9" s="12">
        <f t="shared" si="8"/>
        <v>2412.9411764705883</v>
      </c>
      <c r="AA9" s="4" t="s">
        <v>10</v>
      </c>
      <c r="AB9" s="11">
        <f>IFERROR(VLOOKUP(AA9,Curr!$B$2:$C$13,2,FALSE),0)</f>
        <v>10.8</v>
      </c>
      <c r="AC9" s="12">
        <f t="shared" si="9"/>
        <v>26059.764705882357</v>
      </c>
      <c r="AD9" s="12">
        <f t="shared" si="10"/>
        <v>3908.9647058823539</v>
      </c>
      <c r="AE9" s="13">
        <f t="shared" si="11"/>
        <v>0.15000000000000002</v>
      </c>
    </row>
    <row r="10" spans="2:36" x14ac:dyDescent="0.25">
      <c r="B10" s="4"/>
      <c r="E10" s="3" t="s">
        <v>77</v>
      </c>
      <c r="F10" s="3"/>
      <c r="G10" s="24"/>
      <c r="H10" s="24"/>
      <c r="J10" s="1" t="s">
        <v>102</v>
      </c>
      <c r="K10" s="4"/>
      <c r="L10" s="4"/>
      <c r="M10" s="4"/>
      <c r="N10" s="4"/>
      <c r="O10" s="4"/>
      <c r="P10" s="33"/>
      <c r="Q10" s="25">
        <v>0</v>
      </c>
      <c r="R10" s="25">
        <v>0</v>
      </c>
      <c r="S10" s="12">
        <f t="shared" si="0"/>
        <v>0</v>
      </c>
      <c r="T10" s="5">
        <v>0</v>
      </c>
      <c r="U10" s="12">
        <f t="shared" si="1"/>
        <v>0</v>
      </c>
      <c r="V10" s="25" t="s">
        <v>10</v>
      </c>
      <c r="W10" s="11">
        <f>IFERROR(VLOOKUP(V10,Curr!$B$2:$C$13,2,FALSE),0)</f>
        <v>10.8</v>
      </c>
      <c r="X10" s="12">
        <f t="shared" si="2"/>
        <v>0</v>
      </c>
      <c r="Y10" s="26">
        <f t="shared" ref="Y10" si="12">Q10</f>
        <v>0</v>
      </c>
      <c r="Z10" s="12">
        <f t="shared" si="8"/>
        <v>0</v>
      </c>
      <c r="AA10" s="4" t="s">
        <v>10</v>
      </c>
      <c r="AB10" s="11">
        <f>IFERROR(VLOOKUP(AA10,Curr!$B$2:$C$13,2,FALSE),0)</f>
        <v>10.8</v>
      </c>
      <c r="AC10" s="12">
        <f t="shared" si="9"/>
        <v>0</v>
      </c>
      <c r="AD10" s="12">
        <f t="shared" si="10"/>
        <v>0</v>
      </c>
      <c r="AE10" s="13">
        <f t="shared" si="11"/>
        <v>0</v>
      </c>
    </row>
    <row r="11" spans="2:36" x14ac:dyDescent="0.25">
      <c r="B11" s="4"/>
      <c r="E11" s="3"/>
      <c r="F11" s="3"/>
      <c r="G11" s="24"/>
      <c r="H11" s="24"/>
      <c r="K11" s="4"/>
      <c r="L11" s="4"/>
      <c r="M11" s="4"/>
      <c r="N11" s="4"/>
      <c r="O11" s="4"/>
      <c r="P11" s="33"/>
      <c r="Q11" s="25">
        <v>0</v>
      </c>
      <c r="R11" s="25">
        <v>0</v>
      </c>
      <c r="S11" s="12">
        <f t="shared" ref="S11:S71" si="13">+Q11*R11</f>
        <v>0</v>
      </c>
      <c r="T11" s="5">
        <v>0</v>
      </c>
      <c r="U11" s="12">
        <f t="shared" ref="U11:U71" si="14">S11*(1-T11)</f>
        <v>0</v>
      </c>
      <c r="V11" s="25" t="s">
        <v>10</v>
      </c>
      <c r="W11" s="11">
        <f>IFERROR(VLOOKUP(V11,Curr!$B$2:$C$13,2,FALSE),0)</f>
        <v>10.8</v>
      </c>
      <c r="X11" s="12">
        <f t="shared" ref="X11:X71" si="15">U11*W11</f>
        <v>0</v>
      </c>
      <c r="Y11" s="26">
        <f t="shared" ref="Y11:Y71" si="16">Q11</f>
        <v>0</v>
      </c>
      <c r="Z11" s="12">
        <f t="shared" si="8"/>
        <v>0</v>
      </c>
      <c r="AA11" s="4" t="s">
        <v>10</v>
      </c>
      <c r="AB11" s="11">
        <f>IFERROR(VLOOKUP(AA11,Curr!$B$2:$C$13,2,FALSE),0)</f>
        <v>10.8</v>
      </c>
      <c r="AC11" s="12">
        <f t="shared" si="9"/>
        <v>0</v>
      </c>
      <c r="AD11" s="12">
        <f t="shared" si="10"/>
        <v>0</v>
      </c>
      <c r="AE11" s="13">
        <f t="shared" si="11"/>
        <v>0</v>
      </c>
    </row>
    <row r="12" spans="2:36" x14ac:dyDescent="0.25">
      <c r="B12" s="4"/>
      <c r="E12" s="3" t="s">
        <v>79</v>
      </c>
      <c r="F12" s="3"/>
      <c r="G12" s="24"/>
      <c r="H12" s="24"/>
      <c r="J12" s="1" t="s">
        <v>157</v>
      </c>
      <c r="K12" s="4"/>
      <c r="L12" s="4"/>
      <c r="M12" s="4"/>
      <c r="N12" s="4"/>
      <c r="O12" s="4"/>
      <c r="P12" s="33" t="s">
        <v>158</v>
      </c>
      <c r="Q12" s="25">
        <v>40</v>
      </c>
      <c r="R12" s="25">
        <v>4</v>
      </c>
      <c r="S12" s="12">
        <f t="shared" si="13"/>
        <v>160</v>
      </c>
      <c r="T12" s="5">
        <v>0.2</v>
      </c>
      <c r="U12" s="12">
        <f t="shared" si="14"/>
        <v>128</v>
      </c>
      <c r="V12" s="25" t="s">
        <v>10</v>
      </c>
      <c r="W12" s="11">
        <f>IFERROR(VLOOKUP(V12,Curr!$B$2:$C$13,2,FALSE),0)</f>
        <v>10.8</v>
      </c>
      <c r="X12" s="12">
        <f t="shared" si="15"/>
        <v>1382.4</v>
      </c>
      <c r="Y12" s="26">
        <f t="shared" si="16"/>
        <v>40</v>
      </c>
      <c r="Z12" s="12">
        <f t="shared" si="8"/>
        <v>160</v>
      </c>
      <c r="AA12" s="4" t="s">
        <v>10</v>
      </c>
      <c r="AB12" s="11">
        <f>IFERROR(VLOOKUP(AA12,Curr!$B$2:$C$13,2,FALSE),0)</f>
        <v>10.8</v>
      </c>
      <c r="AC12" s="12">
        <f t="shared" si="9"/>
        <v>1728</v>
      </c>
      <c r="AD12" s="12">
        <f t="shared" si="10"/>
        <v>345.59999999999991</v>
      </c>
      <c r="AE12" s="13">
        <f t="shared" si="11"/>
        <v>0.19999999999999996</v>
      </c>
    </row>
    <row r="13" spans="2:36" x14ac:dyDescent="0.25">
      <c r="B13" s="4"/>
      <c r="E13" s="3" t="s">
        <v>79</v>
      </c>
      <c r="F13" s="3"/>
      <c r="G13" s="24"/>
      <c r="H13" s="24"/>
      <c r="J13" s="1" t="s">
        <v>102</v>
      </c>
      <c r="K13" s="4"/>
      <c r="L13" s="4"/>
      <c r="M13" s="4"/>
      <c r="N13" s="4"/>
      <c r="O13" s="4"/>
      <c r="P13" s="33"/>
      <c r="Q13" s="25">
        <v>0</v>
      </c>
      <c r="R13" s="25">
        <v>0</v>
      </c>
      <c r="S13" s="12">
        <f t="shared" si="13"/>
        <v>0</v>
      </c>
      <c r="T13" s="5">
        <v>0</v>
      </c>
      <c r="U13" s="12">
        <f t="shared" si="14"/>
        <v>0</v>
      </c>
      <c r="V13" s="25" t="s">
        <v>10</v>
      </c>
      <c r="W13" s="11">
        <f>IFERROR(VLOOKUP(V13,Curr!$B$2:$C$13,2,FALSE),0)</f>
        <v>10.8</v>
      </c>
      <c r="X13" s="12">
        <f t="shared" si="15"/>
        <v>0</v>
      </c>
      <c r="Y13" s="26">
        <f t="shared" si="16"/>
        <v>0</v>
      </c>
      <c r="Z13" s="12">
        <f t="shared" si="8"/>
        <v>0</v>
      </c>
      <c r="AA13" s="4" t="s">
        <v>10</v>
      </c>
      <c r="AB13" s="11">
        <f>IFERROR(VLOOKUP(AA13,Curr!$B$2:$C$13,2,FALSE),0)</f>
        <v>10.8</v>
      </c>
      <c r="AC13" s="12">
        <f t="shared" si="9"/>
        <v>0</v>
      </c>
      <c r="AD13" s="12">
        <f t="shared" si="10"/>
        <v>0</v>
      </c>
      <c r="AE13" s="13">
        <f t="shared" si="11"/>
        <v>0</v>
      </c>
    </row>
    <row r="14" spans="2:36" x14ac:dyDescent="0.25">
      <c r="B14" s="4"/>
      <c r="F14" s="3"/>
      <c r="G14" s="24"/>
      <c r="H14" s="24"/>
      <c r="K14" s="4"/>
      <c r="L14" s="4"/>
      <c r="M14" s="4"/>
      <c r="N14" s="4"/>
      <c r="O14" s="4"/>
      <c r="P14" s="27"/>
      <c r="Q14" s="25"/>
      <c r="R14" s="25"/>
      <c r="S14" s="12">
        <f t="shared" si="13"/>
        <v>0</v>
      </c>
      <c r="T14" s="5">
        <v>0</v>
      </c>
      <c r="U14" s="12">
        <f t="shared" si="14"/>
        <v>0</v>
      </c>
      <c r="V14" s="25" t="s">
        <v>10</v>
      </c>
      <c r="W14" s="11">
        <f>IFERROR(VLOOKUP(V14,Curr!$B$2:$C$13,2,FALSE),0)</f>
        <v>10.8</v>
      </c>
      <c r="X14" s="12">
        <f t="shared" si="15"/>
        <v>0</v>
      </c>
      <c r="Y14" s="26">
        <f t="shared" si="16"/>
        <v>0</v>
      </c>
      <c r="Z14" s="12">
        <f t="shared" si="8"/>
        <v>0</v>
      </c>
      <c r="AA14" s="4" t="s">
        <v>10</v>
      </c>
      <c r="AB14" s="11">
        <f>IFERROR(VLOOKUP(AA14,Curr!$B$2:$C$13,2,FALSE),0)</f>
        <v>10.8</v>
      </c>
      <c r="AC14" s="12">
        <f t="shared" si="9"/>
        <v>0</v>
      </c>
      <c r="AD14" s="12">
        <f t="shared" si="10"/>
        <v>0</v>
      </c>
      <c r="AE14" s="13">
        <f t="shared" si="11"/>
        <v>0</v>
      </c>
    </row>
    <row r="15" spans="2:36" x14ac:dyDescent="0.25">
      <c r="B15" s="4"/>
      <c r="E15" s="3" t="s">
        <v>82</v>
      </c>
      <c r="F15" s="3"/>
      <c r="G15" s="24"/>
      <c r="H15" s="24"/>
      <c r="J15" s="1" t="s">
        <v>105</v>
      </c>
      <c r="K15" s="4"/>
      <c r="L15" s="4"/>
      <c r="M15" s="4"/>
      <c r="N15" s="4"/>
      <c r="O15" s="4"/>
      <c r="P15" s="33"/>
      <c r="Q15" s="25">
        <v>0</v>
      </c>
      <c r="R15" s="25">
        <v>0</v>
      </c>
      <c r="S15" s="12">
        <f t="shared" si="13"/>
        <v>0</v>
      </c>
      <c r="T15" s="5">
        <v>0</v>
      </c>
      <c r="U15" s="12">
        <f t="shared" si="14"/>
        <v>0</v>
      </c>
      <c r="V15" s="25" t="s">
        <v>10</v>
      </c>
      <c r="W15" s="11">
        <f>IFERROR(VLOOKUP(V15,Curr!$B$2:$C$13,2,FALSE),0)</f>
        <v>10.8</v>
      </c>
      <c r="X15" s="12">
        <f t="shared" si="15"/>
        <v>0</v>
      </c>
      <c r="Y15" s="26">
        <f t="shared" si="16"/>
        <v>0</v>
      </c>
      <c r="Z15" s="12">
        <f t="shared" si="8"/>
        <v>0</v>
      </c>
      <c r="AA15" s="4" t="s">
        <v>10</v>
      </c>
      <c r="AB15" s="11">
        <f>IFERROR(VLOOKUP(AA15,Curr!$B$2:$C$13,2,FALSE),0)</f>
        <v>10.8</v>
      </c>
      <c r="AC15" s="12">
        <f t="shared" si="9"/>
        <v>0</v>
      </c>
      <c r="AD15" s="12">
        <f t="shared" si="10"/>
        <v>0</v>
      </c>
      <c r="AE15" s="13">
        <f t="shared" si="11"/>
        <v>0</v>
      </c>
    </row>
    <row r="16" spans="2:36" x14ac:dyDescent="0.25">
      <c r="B16" s="4"/>
      <c r="E16" s="3" t="s">
        <v>82</v>
      </c>
      <c r="F16" s="3"/>
      <c r="G16" s="24"/>
      <c r="H16" s="24"/>
      <c r="J16" s="1" t="s">
        <v>225</v>
      </c>
      <c r="K16" s="4"/>
      <c r="L16" s="4"/>
      <c r="M16" s="4"/>
      <c r="N16" s="4"/>
      <c r="O16" s="4"/>
      <c r="P16" s="33" t="s">
        <v>160</v>
      </c>
      <c r="Q16" s="25">
        <f>3873+450</f>
        <v>4323</v>
      </c>
      <c r="R16" s="25">
        <v>4</v>
      </c>
      <c r="S16" s="12">
        <f t="shared" si="13"/>
        <v>17292</v>
      </c>
      <c r="T16" s="5">
        <v>0.12</v>
      </c>
      <c r="U16" s="12">
        <f t="shared" si="14"/>
        <v>15216.960000000001</v>
      </c>
      <c r="V16" s="25" t="s">
        <v>8</v>
      </c>
      <c r="W16" s="11">
        <f>IFERROR(VLOOKUP(V16,Curr!$B$2:$C$13,2,FALSE),0)</f>
        <v>1</v>
      </c>
      <c r="X16" s="12">
        <f t="shared" si="15"/>
        <v>15216.960000000001</v>
      </c>
      <c r="Y16" s="26">
        <f>Q16/11/0.9</f>
        <v>436.66666666666663</v>
      </c>
      <c r="Z16" s="12">
        <f t="shared" si="8"/>
        <v>1746.6666666666665</v>
      </c>
      <c r="AA16" s="4" t="s">
        <v>10</v>
      </c>
      <c r="AB16" s="11">
        <f>IFERROR(VLOOKUP(AA16,Curr!$B$2:$C$13,2,FALSE),0)</f>
        <v>10.8</v>
      </c>
      <c r="AC16" s="12">
        <f t="shared" si="9"/>
        <v>18864</v>
      </c>
      <c r="AD16" s="12">
        <f t="shared" si="10"/>
        <v>3647.0399999999991</v>
      </c>
      <c r="AE16" s="13">
        <f t="shared" si="11"/>
        <v>0.19333333333333327</v>
      </c>
    </row>
    <row r="17" spans="2:31" x14ac:dyDescent="0.25">
      <c r="B17" s="4"/>
      <c r="E17" s="3" t="s">
        <v>82</v>
      </c>
      <c r="F17" s="3"/>
      <c r="G17" s="24"/>
      <c r="H17" s="24"/>
      <c r="J17" s="1" t="s">
        <v>108</v>
      </c>
      <c r="K17" s="4"/>
      <c r="L17" s="4"/>
      <c r="M17" s="4"/>
      <c r="N17" s="4"/>
      <c r="O17" s="4"/>
      <c r="P17" s="33" t="s">
        <v>166</v>
      </c>
      <c r="Q17" s="25">
        <v>1490</v>
      </c>
      <c r="R17" s="25">
        <v>1</v>
      </c>
      <c r="S17" s="12">
        <f t="shared" si="13"/>
        <v>1490</v>
      </c>
      <c r="T17" s="5">
        <v>0.15</v>
      </c>
      <c r="U17" s="12">
        <f t="shared" si="14"/>
        <v>1266.5</v>
      </c>
      <c r="V17" s="25" t="s">
        <v>8</v>
      </c>
      <c r="W17" s="11">
        <f>IFERROR(VLOOKUP(V17,Curr!$B$2:$C$13,2,FALSE),0)</f>
        <v>1</v>
      </c>
      <c r="X17" s="12">
        <f t="shared" si="15"/>
        <v>1266.5</v>
      </c>
      <c r="Y17" s="26">
        <f>Q17/11/0.9</f>
        <v>150.50505050505052</v>
      </c>
      <c r="Z17" s="12">
        <f t="shared" si="8"/>
        <v>150.50505050505052</v>
      </c>
      <c r="AA17" s="4" t="s">
        <v>10</v>
      </c>
      <c r="AB17" s="11">
        <f>IFERROR(VLOOKUP(AA17,Curr!$B$2:$C$13,2,FALSE),0)</f>
        <v>10.8</v>
      </c>
      <c r="AC17" s="12">
        <f t="shared" si="9"/>
        <v>1625.4545454545457</v>
      </c>
      <c r="AD17" s="12">
        <f t="shared" si="10"/>
        <v>358.95454545454572</v>
      </c>
      <c r="AE17" s="13">
        <f t="shared" si="11"/>
        <v>0.22083333333333346</v>
      </c>
    </row>
    <row r="18" spans="2:31" x14ac:dyDescent="0.25">
      <c r="B18" s="4"/>
      <c r="E18" s="3" t="s">
        <v>82</v>
      </c>
      <c r="F18" s="3"/>
      <c r="G18" s="24"/>
      <c r="H18" s="24"/>
      <c r="J18" s="1" t="s">
        <v>198</v>
      </c>
      <c r="K18" s="4"/>
      <c r="L18" s="4"/>
      <c r="M18" s="4" t="s">
        <v>246</v>
      </c>
      <c r="N18" s="4"/>
      <c r="O18" s="4"/>
      <c r="P18" s="29" t="s">
        <v>199</v>
      </c>
      <c r="Q18" s="25">
        <v>2593</v>
      </c>
      <c r="R18" s="25">
        <v>1</v>
      </c>
      <c r="S18" s="12">
        <f t="shared" si="13"/>
        <v>2593</v>
      </c>
      <c r="T18" s="5">
        <v>0</v>
      </c>
      <c r="U18" s="12">
        <f t="shared" si="14"/>
        <v>2593</v>
      </c>
      <c r="V18" s="25" t="s">
        <v>10</v>
      </c>
      <c r="W18" s="11">
        <f>IFERROR(VLOOKUP(V18,Curr!$B$2:$C$13,2,FALSE),0)</f>
        <v>10.8</v>
      </c>
      <c r="X18" s="12">
        <f t="shared" si="15"/>
        <v>28004.400000000001</v>
      </c>
      <c r="Y18" s="26">
        <f>Q18/0.85</f>
        <v>3050.5882352941176</v>
      </c>
      <c r="Z18" s="12">
        <f t="shared" si="8"/>
        <v>3050.5882352941176</v>
      </c>
      <c r="AA18" s="4" t="s">
        <v>10</v>
      </c>
      <c r="AB18" s="11">
        <f>IFERROR(VLOOKUP(AA18,Curr!$B$2:$C$13,2,FALSE),0)</f>
        <v>10.8</v>
      </c>
      <c r="AC18" s="12">
        <f t="shared" si="9"/>
        <v>32946.352941176468</v>
      </c>
      <c r="AD18" s="12">
        <f t="shared" si="10"/>
        <v>4941.952941176467</v>
      </c>
      <c r="AE18" s="13">
        <f t="shared" si="11"/>
        <v>0.14999999999999991</v>
      </c>
    </row>
    <row r="19" spans="2:31" x14ac:dyDescent="0.25">
      <c r="B19" s="4"/>
      <c r="E19" s="3" t="s">
        <v>82</v>
      </c>
      <c r="F19" s="3"/>
      <c r="G19" s="24"/>
      <c r="H19" s="24"/>
      <c r="J19" s="1" t="s">
        <v>109</v>
      </c>
      <c r="K19" s="4"/>
      <c r="L19" s="4"/>
      <c r="M19" s="4"/>
      <c r="N19" s="4"/>
      <c r="O19" s="4"/>
      <c r="P19" s="33"/>
      <c r="Q19" s="25">
        <v>0</v>
      </c>
      <c r="R19" s="25">
        <v>0</v>
      </c>
      <c r="S19" s="12">
        <f t="shared" si="13"/>
        <v>0</v>
      </c>
      <c r="T19" s="5">
        <v>0</v>
      </c>
      <c r="U19" s="12">
        <f t="shared" si="14"/>
        <v>0</v>
      </c>
      <c r="V19" s="25" t="s">
        <v>10</v>
      </c>
      <c r="W19" s="11">
        <f>IFERROR(VLOOKUP(V19,Curr!$B$2:$C$13,2,FALSE),0)</f>
        <v>10.8</v>
      </c>
      <c r="X19" s="12">
        <f t="shared" si="15"/>
        <v>0</v>
      </c>
      <c r="Y19" s="26">
        <f t="shared" ref="Y19" si="17">Q19</f>
        <v>0</v>
      </c>
      <c r="Z19" s="12">
        <f t="shared" si="8"/>
        <v>0</v>
      </c>
      <c r="AA19" s="4" t="s">
        <v>10</v>
      </c>
      <c r="AB19" s="11">
        <f>IFERROR(VLOOKUP(AA19,Curr!$B$2:$C$13,2,FALSE),0)</f>
        <v>10.8</v>
      </c>
      <c r="AC19" s="12">
        <f t="shared" si="9"/>
        <v>0</v>
      </c>
      <c r="AD19" s="12">
        <f t="shared" si="10"/>
        <v>0</v>
      </c>
      <c r="AE19" s="13">
        <f t="shared" si="11"/>
        <v>0</v>
      </c>
    </row>
    <row r="20" spans="2:31" x14ac:dyDescent="0.25">
      <c r="B20" s="4"/>
      <c r="E20" s="3"/>
      <c r="F20" s="3"/>
      <c r="G20" s="24"/>
      <c r="H20" s="24"/>
      <c r="K20" s="4"/>
      <c r="L20" s="4"/>
      <c r="M20" s="4"/>
      <c r="N20" s="4"/>
      <c r="O20" s="4"/>
      <c r="P20" s="33"/>
      <c r="Q20" s="25"/>
      <c r="R20" s="25"/>
      <c r="S20" s="12">
        <f t="shared" si="13"/>
        <v>0</v>
      </c>
      <c r="T20" s="5">
        <v>0</v>
      </c>
      <c r="U20" s="12">
        <f t="shared" si="14"/>
        <v>0</v>
      </c>
      <c r="V20" s="25" t="s">
        <v>10</v>
      </c>
      <c r="W20" s="11">
        <f>IFERROR(VLOOKUP(V20,Curr!$B$2:$C$13,2,FALSE),0)</f>
        <v>10.8</v>
      </c>
      <c r="X20" s="12">
        <f t="shared" si="15"/>
        <v>0</v>
      </c>
      <c r="Y20" s="26">
        <f t="shared" si="16"/>
        <v>0</v>
      </c>
      <c r="Z20" s="12">
        <f t="shared" si="8"/>
        <v>0</v>
      </c>
      <c r="AA20" s="4" t="s">
        <v>10</v>
      </c>
      <c r="AB20" s="11">
        <f>IFERROR(VLOOKUP(AA20,Curr!$B$2:$C$13,2,FALSE),0)</f>
        <v>10.8</v>
      </c>
      <c r="AC20" s="12">
        <f t="shared" si="9"/>
        <v>0</v>
      </c>
      <c r="AD20" s="12">
        <f t="shared" si="10"/>
        <v>0</v>
      </c>
      <c r="AE20" s="13">
        <f t="shared" si="11"/>
        <v>0</v>
      </c>
    </row>
    <row r="21" spans="2:31" x14ac:dyDescent="0.25">
      <c r="B21" s="4"/>
      <c r="E21" s="3" t="s">
        <v>83</v>
      </c>
      <c r="F21" s="3"/>
      <c r="G21" s="24"/>
      <c r="H21" s="24"/>
      <c r="J21" s="1" t="s">
        <v>164</v>
      </c>
      <c r="K21" s="4"/>
      <c r="L21" s="4"/>
      <c r="M21" s="4"/>
      <c r="N21" s="4"/>
      <c r="O21" s="4"/>
      <c r="P21" s="33" t="s">
        <v>167</v>
      </c>
      <c r="Q21" s="25">
        <v>200</v>
      </c>
      <c r="R21" s="25">
        <v>4</v>
      </c>
      <c r="S21" s="12">
        <f t="shared" si="13"/>
        <v>800</v>
      </c>
      <c r="T21" s="5">
        <v>0</v>
      </c>
      <c r="U21" s="12">
        <f t="shared" si="14"/>
        <v>800</v>
      </c>
      <c r="V21" s="25" t="s">
        <v>8</v>
      </c>
      <c r="W21" s="11">
        <f>IFERROR(VLOOKUP(V21,Curr!$B$2:$C$13,2,FALSE),0)</f>
        <v>1</v>
      </c>
      <c r="X21" s="12">
        <f t="shared" si="15"/>
        <v>800</v>
      </c>
      <c r="Y21" s="26">
        <f>Q21/11/0.6</f>
        <v>30.303030303030308</v>
      </c>
      <c r="Z21" s="12">
        <f t="shared" si="8"/>
        <v>121.21212121212123</v>
      </c>
      <c r="AA21" s="4" t="s">
        <v>10</v>
      </c>
      <c r="AB21" s="11">
        <f>IFERROR(VLOOKUP(AA21,Curr!$B$2:$C$13,2,FALSE),0)</f>
        <v>10.8</v>
      </c>
      <c r="AC21" s="12">
        <f t="shared" si="9"/>
        <v>1309.0909090909095</v>
      </c>
      <c r="AD21" s="12">
        <f t="shared" si="10"/>
        <v>509.09090909090946</v>
      </c>
      <c r="AE21" s="13">
        <f t="shared" si="11"/>
        <v>0.38888888888888906</v>
      </c>
    </row>
    <row r="22" spans="2:31" x14ac:dyDescent="0.25">
      <c r="B22" s="4"/>
      <c r="E22" s="3" t="s">
        <v>83</v>
      </c>
      <c r="F22" s="3"/>
      <c r="G22" s="24"/>
      <c r="H22" s="24"/>
      <c r="J22" s="1" t="s">
        <v>109</v>
      </c>
      <c r="K22" s="4"/>
      <c r="L22" s="4"/>
      <c r="M22" s="4"/>
      <c r="N22" s="4"/>
      <c r="O22" s="4"/>
      <c r="P22" s="33"/>
      <c r="Q22" s="25">
        <v>0</v>
      </c>
      <c r="R22" s="25">
        <v>0</v>
      </c>
      <c r="S22" s="12">
        <f t="shared" si="13"/>
        <v>0</v>
      </c>
      <c r="T22" s="5">
        <v>0</v>
      </c>
      <c r="U22" s="12">
        <f t="shared" si="14"/>
        <v>0</v>
      </c>
      <c r="V22" s="25" t="s">
        <v>10</v>
      </c>
      <c r="W22" s="11">
        <f>IFERROR(VLOOKUP(V22,Curr!$B$2:$C$13,2,FALSE),0)</f>
        <v>10.8</v>
      </c>
      <c r="X22" s="12">
        <f t="shared" si="15"/>
        <v>0</v>
      </c>
      <c r="Y22" s="26">
        <f t="shared" ref="Y22" si="18">Q22</f>
        <v>0</v>
      </c>
      <c r="Z22" s="12">
        <f t="shared" si="8"/>
        <v>0</v>
      </c>
      <c r="AA22" s="4" t="s">
        <v>10</v>
      </c>
      <c r="AB22" s="11">
        <f>IFERROR(VLOOKUP(AA22,Curr!$B$2:$C$13,2,FALSE),0)</f>
        <v>10.8</v>
      </c>
      <c r="AC22" s="12">
        <f t="shared" si="9"/>
        <v>0</v>
      </c>
      <c r="AD22" s="12">
        <f t="shared" si="10"/>
        <v>0</v>
      </c>
      <c r="AE22" s="13">
        <f t="shared" si="11"/>
        <v>0</v>
      </c>
    </row>
    <row r="23" spans="2:31" x14ac:dyDescent="0.25">
      <c r="B23" s="4"/>
      <c r="E23" s="3" t="s">
        <v>83</v>
      </c>
      <c r="F23" s="3"/>
      <c r="G23" s="24"/>
      <c r="H23" s="24"/>
      <c r="J23" s="1" t="s">
        <v>231</v>
      </c>
      <c r="K23" s="4"/>
      <c r="L23" s="4"/>
      <c r="M23" s="4"/>
      <c r="N23" s="4"/>
      <c r="O23" s="4"/>
      <c r="P23" s="33" t="s">
        <v>232</v>
      </c>
      <c r="Q23" s="25">
        <v>95</v>
      </c>
      <c r="R23" s="25">
        <v>4</v>
      </c>
      <c r="S23" s="12">
        <f t="shared" si="13"/>
        <v>380</v>
      </c>
      <c r="T23" s="5">
        <v>0.2</v>
      </c>
      <c r="U23" s="12">
        <f t="shared" si="14"/>
        <v>304</v>
      </c>
      <c r="V23" s="25" t="s">
        <v>10</v>
      </c>
      <c r="W23" s="11">
        <f>IFERROR(VLOOKUP(V23,Curr!$B$2:$C$13,2,FALSE),0)</f>
        <v>10.8</v>
      </c>
      <c r="X23" s="12">
        <f t="shared" si="15"/>
        <v>3283.2000000000003</v>
      </c>
      <c r="Y23" s="26">
        <f>Q23/0.9</f>
        <v>105.55555555555556</v>
      </c>
      <c r="Z23" s="12">
        <f t="shared" si="8"/>
        <v>422.22222222222223</v>
      </c>
      <c r="AA23" s="4" t="s">
        <v>10</v>
      </c>
      <c r="AB23" s="11">
        <f>IFERROR(VLOOKUP(AA23,Curr!$B$2:$C$13,2,FALSE),0)</f>
        <v>10.8</v>
      </c>
      <c r="AC23" s="12">
        <f t="shared" si="9"/>
        <v>4560</v>
      </c>
      <c r="AD23" s="12">
        <f t="shared" si="10"/>
        <v>1276.7999999999997</v>
      </c>
      <c r="AE23" s="13">
        <f t="shared" si="11"/>
        <v>0.27999999999999992</v>
      </c>
    </row>
    <row r="24" spans="2:31" x14ac:dyDescent="0.25">
      <c r="B24" s="4"/>
      <c r="E24" s="3"/>
      <c r="F24" s="3"/>
      <c r="G24" s="24"/>
      <c r="H24" s="24"/>
      <c r="K24" s="4"/>
      <c r="L24" s="4"/>
      <c r="M24" s="4"/>
      <c r="N24" s="4"/>
      <c r="O24" s="4"/>
      <c r="P24" s="33"/>
      <c r="Q24" s="25"/>
      <c r="R24" s="25"/>
      <c r="S24" s="12">
        <f t="shared" si="13"/>
        <v>0</v>
      </c>
      <c r="T24" s="5">
        <v>0</v>
      </c>
      <c r="U24" s="12">
        <f t="shared" si="14"/>
        <v>0</v>
      </c>
      <c r="V24" s="25" t="s">
        <v>10</v>
      </c>
      <c r="W24" s="11">
        <f>IFERROR(VLOOKUP(V24,Curr!$B$2:$C$13,2,FALSE),0)</f>
        <v>10.8</v>
      </c>
      <c r="X24" s="12">
        <f t="shared" si="15"/>
        <v>0</v>
      </c>
      <c r="Y24" s="26">
        <f t="shared" si="16"/>
        <v>0</v>
      </c>
      <c r="Z24" s="12">
        <f t="shared" si="8"/>
        <v>0</v>
      </c>
      <c r="AA24" s="4" t="s">
        <v>10</v>
      </c>
      <c r="AB24" s="11">
        <f>IFERROR(VLOOKUP(AA24,Curr!$B$2:$C$13,2,FALSE),0)</f>
        <v>10.8</v>
      </c>
      <c r="AC24" s="12">
        <f t="shared" si="9"/>
        <v>0</v>
      </c>
      <c r="AD24" s="12">
        <f t="shared" si="10"/>
        <v>0</v>
      </c>
      <c r="AE24" s="13">
        <f t="shared" si="11"/>
        <v>0</v>
      </c>
    </row>
    <row r="25" spans="2:31" x14ac:dyDescent="0.25">
      <c r="B25" s="4"/>
      <c r="E25" s="3" t="s">
        <v>91</v>
      </c>
      <c r="F25" s="3"/>
      <c r="G25" s="24"/>
      <c r="H25" s="24"/>
      <c r="J25" s="1" t="s">
        <v>134</v>
      </c>
      <c r="K25" s="4"/>
      <c r="L25" s="4"/>
      <c r="M25" s="4"/>
      <c r="N25" s="4"/>
      <c r="O25" s="4"/>
      <c r="P25" s="33" t="s">
        <v>166</v>
      </c>
      <c r="Q25" s="25">
        <v>2290</v>
      </c>
      <c r="R25" s="25">
        <v>1</v>
      </c>
      <c r="S25" s="12">
        <f t="shared" si="13"/>
        <v>2290</v>
      </c>
      <c r="T25" s="5">
        <v>0.15</v>
      </c>
      <c r="U25" s="12">
        <f t="shared" si="14"/>
        <v>1946.5</v>
      </c>
      <c r="V25" s="25" t="s">
        <v>8</v>
      </c>
      <c r="W25" s="11">
        <f>IFERROR(VLOOKUP(V25,Curr!$B$2:$C$13,2,FALSE),0)</f>
        <v>1</v>
      </c>
      <c r="X25" s="12">
        <f t="shared" si="15"/>
        <v>1946.5</v>
      </c>
      <c r="Y25" s="26">
        <f>Q25/11/0.9</f>
        <v>231.31313131313132</v>
      </c>
      <c r="Z25" s="12">
        <f t="shared" si="8"/>
        <v>231.31313131313132</v>
      </c>
      <c r="AA25" s="4" t="s">
        <v>10</v>
      </c>
      <c r="AB25" s="11">
        <f>IFERROR(VLOOKUP(AA25,Curr!$B$2:$C$13,2,FALSE),0)</f>
        <v>10.8</v>
      </c>
      <c r="AC25" s="12">
        <f t="shared" si="9"/>
        <v>2498.1818181818185</v>
      </c>
      <c r="AD25" s="12">
        <f t="shared" si="10"/>
        <v>551.68181818181847</v>
      </c>
      <c r="AE25" s="13">
        <f t="shared" si="11"/>
        <v>0.22083333333333344</v>
      </c>
    </row>
    <row r="26" spans="2:31" x14ac:dyDescent="0.25">
      <c r="B26" s="4"/>
      <c r="E26" s="3" t="s">
        <v>91</v>
      </c>
      <c r="F26" s="3"/>
      <c r="G26" s="24"/>
      <c r="H26" s="24"/>
      <c r="J26" s="1" t="s">
        <v>168</v>
      </c>
      <c r="K26" s="4"/>
      <c r="L26" s="4"/>
      <c r="M26" s="4"/>
      <c r="N26" s="4"/>
      <c r="O26" s="4"/>
      <c r="P26" s="33" t="s">
        <v>169</v>
      </c>
      <c r="Q26" s="25">
        <v>1639</v>
      </c>
      <c r="R26" s="25">
        <v>4</v>
      </c>
      <c r="S26" s="12">
        <f t="shared" si="13"/>
        <v>6556</v>
      </c>
      <c r="T26" s="5">
        <v>0</v>
      </c>
      <c r="U26" s="12">
        <f t="shared" si="14"/>
        <v>6556</v>
      </c>
      <c r="V26" s="25" t="s">
        <v>8</v>
      </c>
      <c r="W26" s="11">
        <f>IFERROR(VLOOKUP(V26,Curr!$B$2:$C$13,2,FALSE),0)</f>
        <v>1</v>
      </c>
      <c r="X26" s="12">
        <f t="shared" si="15"/>
        <v>6556</v>
      </c>
      <c r="Y26" s="26">
        <f>Q26/11/0.8</f>
        <v>186.25</v>
      </c>
      <c r="Z26" s="12">
        <f t="shared" si="8"/>
        <v>745</v>
      </c>
      <c r="AA26" s="4" t="s">
        <v>10</v>
      </c>
      <c r="AB26" s="11">
        <f>IFERROR(VLOOKUP(AA26,Curr!$B$2:$C$13,2,FALSE),0)</f>
        <v>10.8</v>
      </c>
      <c r="AC26" s="12">
        <f t="shared" si="9"/>
        <v>8046.0000000000009</v>
      </c>
      <c r="AD26" s="12">
        <f t="shared" si="10"/>
        <v>1490.0000000000009</v>
      </c>
      <c r="AE26" s="13">
        <f t="shared" si="11"/>
        <v>0.18518518518518529</v>
      </c>
    </row>
    <row r="27" spans="2:31" x14ac:dyDescent="0.25">
      <c r="B27" s="4"/>
      <c r="E27" s="3" t="s">
        <v>91</v>
      </c>
      <c r="F27" s="3"/>
      <c r="G27" s="24"/>
      <c r="H27" s="24"/>
      <c r="J27" s="1" t="s">
        <v>205</v>
      </c>
      <c r="K27" s="4"/>
      <c r="L27" s="4"/>
      <c r="M27" s="4"/>
      <c r="N27" s="4"/>
      <c r="O27" s="4"/>
      <c r="P27" s="33" t="s">
        <v>226</v>
      </c>
      <c r="Q27" s="25">
        <v>334</v>
      </c>
      <c r="R27" s="25">
        <v>1</v>
      </c>
      <c r="S27" s="12">
        <f t="shared" si="13"/>
        <v>334</v>
      </c>
      <c r="T27" s="5">
        <v>0</v>
      </c>
      <c r="U27" s="12">
        <f t="shared" si="14"/>
        <v>334</v>
      </c>
      <c r="V27" s="25" t="s">
        <v>10</v>
      </c>
      <c r="W27" s="11">
        <f>IFERROR(VLOOKUP(V27,Curr!$B$2:$C$13,2,FALSE),0)</f>
        <v>10.8</v>
      </c>
      <c r="X27" s="12">
        <f t="shared" si="15"/>
        <v>3607.2000000000003</v>
      </c>
      <c r="Y27" s="26">
        <f>Q27/0.8</f>
        <v>417.5</v>
      </c>
      <c r="Z27" s="12">
        <f t="shared" si="8"/>
        <v>417.5</v>
      </c>
      <c r="AA27" s="4" t="s">
        <v>10</v>
      </c>
      <c r="AB27" s="11">
        <f>IFERROR(VLOOKUP(AA27,Curr!$B$2:$C$13,2,FALSE),0)</f>
        <v>10.8</v>
      </c>
      <c r="AC27" s="12">
        <f t="shared" si="9"/>
        <v>4509</v>
      </c>
      <c r="AD27" s="12">
        <f t="shared" si="10"/>
        <v>901.79999999999973</v>
      </c>
      <c r="AE27" s="13">
        <f t="shared" si="11"/>
        <v>0.19999999999999993</v>
      </c>
    </row>
    <row r="28" spans="2:31" x14ac:dyDescent="0.25">
      <c r="B28" s="4"/>
      <c r="E28" s="3" t="s">
        <v>91</v>
      </c>
      <c r="F28" s="3"/>
      <c r="G28" s="24"/>
      <c r="H28" s="24"/>
      <c r="J28" s="1" t="s">
        <v>200</v>
      </c>
      <c r="K28" s="4"/>
      <c r="L28" s="4"/>
      <c r="M28" s="4"/>
      <c r="N28" s="4"/>
      <c r="O28" s="4"/>
      <c r="P28" s="33"/>
      <c r="Q28" s="25">
        <v>0</v>
      </c>
      <c r="R28" s="25">
        <v>0</v>
      </c>
      <c r="S28" s="12">
        <f t="shared" si="13"/>
        <v>0</v>
      </c>
      <c r="T28" s="5">
        <v>0</v>
      </c>
      <c r="U28" s="12">
        <f t="shared" si="14"/>
        <v>0</v>
      </c>
      <c r="V28" s="25" t="s">
        <v>10</v>
      </c>
      <c r="W28" s="11">
        <f>IFERROR(VLOOKUP(V28,Curr!$B$2:$C$13,2,FALSE),0)</f>
        <v>10.8</v>
      </c>
      <c r="X28" s="12">
        <f t="shared" si="15"/>
        <v>0</v>
      </c>
      <c r="Y28" s="26">
        <f t="shared" ref="Y28" si="19">Q28</f>
        <v>0</v>
      </c>
      <c r="Z28" s="12">
        <f t="shared" si="8"/>
        <v>0</v>
      </c>
      <c r="AA28" s="4" t="s">
        <v>10</v>
      </c>
      <c r="AB28" s="11">
        <f>IFERROR(VLOOKUP(AA28,Curr!$B$2:$C$13,2,FALSE),0)</f>
        <v>10.8</v>
      </c>
      <c r="AC28" s="12">
        <f t="shared" si="9"/>
        <v>0</v>
      </c>
      <c r="AD28" s="12">
        <f t="shared" si="10"/>
        <v>0</v>
      </c>
      <c r="AE28" s="13">
        <f t="shared" si="11"/>
        <v>0</v>
      </c>
    </row>
    <row r="29" spans="2:31" x14ac:dyDescent="0.25">
      <c r="B29" s="4"/>
      <c r="E29" s="3" t="s">
        <v>91</v>
      </c>
      <c r="F29" s="3"/>
      <c r="G29" s="24"/>
      <c r="H29" s="24"/>
      <c r="J29" s="1" t="s">
        <v>204</v>
      </c>
      <c r="K29" s="4"/>
      <c r="L29" s="4"/>
      <c r="M29" s="4" t="s">
        <v>246</v>
      </c>
      <c r="N29" s="4"/>
      <c r="O29" s="4"/>
      <c r="P29" s="33" t="s">
        <v>203</v>
      </c>
      <c r="Q29" s="25">
        <v>3060</v>
      </c>
      <c r="R29" s="25">
        <v>1</v>
      </c>
      <c r="S29" s="12">
        <f t="shared" si="13"/>
        <v>3060</v>
      </c>
      <c r="T29" s="5">
        <v>0</v>
      </c>
      <c r="U29" s="12">
        <f t="shared" si="14"/>
        <v>3060</v>
      </c>
      <c r="V29" s="25" t="s">
        <v>10</v>
      </c>
      <c r="W29" s="11">
        <f>IFERROR(VLOOKUP(V29,Curr!$B$2:$C$13,2,FALSE),0)</f>
        <v>10.8</v>
      </c>
      <c r="X29" s="12">
        <f t="shared" si="15"/>
        <v>33048</v>
      </c>
      <c r="Y29" s="26">
        <f>Q29/0.8</f>
        <v>3825</v>
      </c>
      <c r="Z29" s="12">
        <f t="shared" si="8"/>
        <v>3825</v>
      </c>
      <c r="AA29" s="4" t="s">
        <v>10</v>
      </c>
      <c r="AB29" s="11">
        <f>IFERROR(VLOOKUP(AA29,Curr!$B$2:$C$13,2,FALSE),0)</f>
        <v>10.8</v>
      </c>
      <c r="AC29" s="12">
        <f t="shared" si="9"/>
        <v>41310</v>
      </c>
      <c r="AD29" s="12">
        <f t="shared" si="10"/>
        <v>8262</v>
      </c>
      <c r="AE29" s="13">
        <f t="shared" si="11"/>
        <v>0.2</v>
      </c>
    </row>
    <row r="30" spans="2:31" x14ac:dyDescent="0.25">
      <c r="B30" s="4"/>
      <c r="E30" s="3" t="s">
        <v>91</v>
      </c>
      <c r="F30" s="3"/>
      <c r="G30" s="24"/>
      <c r="H30" s="24"/>
      <c r="J30" s="1" t="s">
        <v>114</v>
      </c>
      <c r="K30" s="4"/>
      <c r="L30" s="4"/>
      <c r="M30" s="4"/>
      <c r="N30" s="4"/>
      <c r="O30" s="4"/>
      <c r="P30" s="33"/>
      <c r="Q30" s="25">
        <v>0</v>
      </c>
      <c r="R30" s="25">
        <v>0</v>
      </c>
      <c r="S30" s="12">
        <f t="shared" si="13"/>
        <v>0</v>
      </c>
      <c r="T30" s="5">
        <v>0</v>
      </c>
      <c r="U30" s="12">
        <f t="shared" si="14"/>
        <v>0</v>
      </c>
      <c r="V30" s="25" t="s">
        <v>10</v>
      </c>
      <c r="W30" s="11">
        <f>IFERROR(VLOOKUP(V30,Curr!$B$2:$C$13,2,FALSE),0)</f>
        <v>10.8</v>
      </c>
      <c r="X30" s="12">
        <f t="shared" si="15"/>
        <v>0</v>
      </c>
      <c r="Y30" s="26">
        <f t="shared" ref="Y30" si="20">Q30</f>
        <v>0</v>
      </c>
      <c r="Z30" s="12">
        <f t="shared" si="8"/>
        <v>0</v>
      </c>
      <c r="AA30" s="4" t="s">
        <v>10</v>
      </c>
      <c r="AB30" s="11">
        <f>IFERROR(VLOOKUP(AA30,Curr!$B$2:$C$13,2,FALSE),0)</f>
        <v>10.8</v>
      </c>
      <c r="AC30" s="12">
        <f t="shared" si="9"/>
        <v>0</v>
      </c>
      <c r="AD30" s="12">
        <f t="shared" si="10"/>
        <v>0</v>
      </c>
      <c r="AE30" s="13">
        <f t="shared" si="11"/>
        <v>0</v>
      </c>
    </row>
    <row r="31" spans="2:31" x14ac:dyDescent="0.25">
      <c r="B31" s="4"/>
      <c r="E31" s="3"/>
      <c r="F31" s="3"/>
      <c r="G31" s="24"/>
      <c r="H31" s="24"/>
      <c r="K31" s="4"/>
      <c r="L31" s="4"/>
      <c r="M31" s="4"/>
      <c r="N31" s="4"/>
      <c r="O31" s="4"/>
      <c r="P31" s="33"/>
      <c r="Q31" s="25"/>
      <c r="R31" s="25"/>
      <c r="S31" s="12">
        <f t="shared" si="13"/>
        <v>0</v>
      </c>
      <c r="T31" s="5">
        <v>0</v>
      </c>
      <c r="U31" s="12">
        <f t="shared" si="14"/>
        <v>0</v>
      </c>
      <c r="V31" s="25" t="s">
        <v>10</v>
      </c>
      <c r="W31" s="11">
        <f>IFERROR(VLOOKUP(V31,Curr!$B$2:$C$13,2,FALSE),0)</f>
        <v>10.8</v>
      </c>
      <c r="X31" s="12">
        <f t="shared" si="15"/>
        <v>0</v>
      </c>
      <c r="Y31" s="26">
        <f t="shared" si="16"/>
        <v>0</v>
      </c>
      <c r="Z31" s="12">
        <f t="shared" si="8"/>
        <v>0</v>
      </c>
      <c r="AA31" s="4" t="s">
        <v>10</v>
      </c>
      <c r="AB31" s="11">
        <f>IFERROR(VLOOKUP(AA31,Curr!$B$2:$C$13,2,FALSE),0)</f>
        <v>10.8</v>
      </c>
      <c r="AC31" s="12">
        <f t="shared" si="9"/>
        <v>0</v>
      </c>
      <c r="AD31" s="12">
        <f t="shared" si="10"/>
        <v>0</v>
      </c>
      <c r="AE31" s="13">
        <f t="shared" si="11"/>
        <v>0</v>
      </c>
    </row>
    <row r="32" spans="2:31" x14ac:dyDescent="0.25">
      <c r="B32" s="4"/>
      <c r="E32" s="3" t="s">
        <v>58</v>
      </c>
      <c r="F32" s="3"/>
      <c r="G32" s="24"/>
      <c r="H32" s="24"/>
      <c r="J32" s="1" t="s">
        <v>209</v>
      </c>
      <c r="K32" s="4"/>
      <c r="L32" s="4"/>
      <c r="M32" s="4"/>
      <c r="N32" s="4"/>
      <c r="O32" s="4"/>
      <c r="P32" s="33" t="s">
        <v>211</v>
      </c>
      <c r="Q32" s="25">
        <v>1680</v>
      </c>
      <c r="R32" s="25">
        <v>1</v>
      </c>
      <c r="S32" s="12">
        <f t="shared" si="13"/>
        <v>1680</v>
      </c>
      <c r="T32" s="5">
        <v>0.12</v>
      </c>
      <c r="U32" s="12">
        <f t="shared" si="14"/>
        <v>1478.4</v>
      </c>
      <c r="V32" s="25" t="s">
        <v>8</v>
      </c>
      <c r="W32" s="11">
        <f>IFERROR(VLOOKUP(V32,Curr!$B$2:$C$13,2,FALSE),0)</f>
        <v>1</v>
      </c>
      <c r="X32" s="12">
        <f t="shared" si="15"/>
        <v>1478.4</v>
      </c>
      <c r="Y32" s="26">
        <f>Q32/11/0.8</f>
        <v>190.90909090909088</v>
      </c>
      <c r="Z32" s="12">
        <f t="shared" si="8"/>
        <v>190.90909090909088</v>
      </c>
      <c r="AA32" s="4" t="s">
        <v>10</v>
      </c>
      <c r="AB32" s="11">
        <f>IFERROR(VLOOKUP(AA32,Curr!$B$2:$C$13,2,FALSE),0)</f>
        <v>10.8</v>
      </c>
      <c r="AC32" s="12">
        <f t="shared" si="9"/>
        <v>2061.8181818181815</v>
      </c>
      <c r="AD32" s="12">
        <f t="shared" si="10"/>
        <v>583.41818181818144</v>
      </c>
      <c r="AE32" s="13">
        <f t="shared" si="11"/>
        <v>0.28296296296296281</v>
      </c>
    </row>
    <row r="33" spans="2:31" x14ac:dyDescent="0.25">
      <c r="B33" s="4"/>
      <c r="E33" s="3" t="s">
        <v>58</v>
      </c>
      <c r="F33" s="3"/>
      <c r="G33" s="24"/>
      <c r="H33" s="24"/>
      <c r="J33" s="1" t="s">
        <v>114</v>
      </c>
      <c r="K33" s="4"/>
      <c r="L33" s="4"/>
      <c r="M33" s="4"/>
      <c r="N33" s="4"/>
      <c r="O33" s="4"/>
      <c r="P33" s="33"/>
      <c r="Q33" s="25">
        <v>0</v>
      </c>
      <c r="R33" s="25">
        <v>0</v>
      </c>
      <c r="S33" s="12">
        <f t="shared" si="13"/>
        <v>0</v>
      </c>
      <c r="T33" s="5">
        <v>0</v>
      </c>
      <c r="U33" s="12">
        <f t="shared" si="14"/>
        <v>0</v>
      </c>
      <c r="V33" s="25" t="s">
        <v>10</v>
      </c>
      <c r="W33" s="11">
        <f>IFERROR(VLOOKUP(V33,Curr!$B$2:$C$13,2,FALSE),0)</f>
        <v>10.8</v>
      </c>
      <c r="X33" s="12">
        <f t="shared" si="15"/>
        <v>0</v>
      </c>
      <c r="Y33" s="26">
        <f t="shared" si="16"/>
        <v>0</v>
      </c>
      <c r="Z33" s="12">
        <f t="shared" si="8"/>
        <v>0</v>
      </c>
      <c r="AA33" s="4" t="s">
        <v>10</v>
      </c>
      <c r="AB33" s="11">
        <f>IFERROR(VLOOKUP(AA33,Curr!$B$2:$C$13,2,FALSE),0)</f>
        <v>10.8</v>
      </c>
      <c r="AC33" s="12">
        <f t="shared" si="9"/>
        <v>0</v>
      </c>
      <c r="AD33" s="12">
        <f t="shared" si="10"/>
        <v>0</v>
      </c>
      <c r="AE33" s="13">
        <f t="shared" si="11"/>
        <v>0</v>
      </c>
    </row>
    <row r="34" spans="2:31" x14ac:dyDescent="0.25">
      <c r="B34" s="4"/>
      <c r="E34" s="3"/>
      <c r="F34" s="3"/>
      <c r="G34" s="24"/>
      <c r="H34" s="24"/>
      <c r="K34" s="4"/>
      <c r="L34" s="4"/>
      <c r="M34" s="4"/>
      <c r="N34" s="4"/>
      <c r="O34" s="4"/>
      <c r="P34" s="27"/>
      <c r="Q34" s="25"/>
      <c r="R34" s="25"/>
      <c r="S34" s="12">
        <f t="shared" si="13"/>
        <v>0</v>
      </c>
      <c r="T34" s="5">
        <v>0</v>
      </c>
      <c r="U34" s="12">
        <f t="shared" si="14"/>
        <v>0</v>
      </c>
      <c r="V34" s="25" t="s">
        <v>10</v>
      </c>
      <c r="W34" s="11">
        <f>IFERROR(VLOOKUP(V34,Curr!$B$2:$C$13,2,FALSE),0)</f>
        <v>10.8</v>
      </c>
      <c r="X34" s="12">
        <f t="shared" si="15"/>
        <v>0</v>
      </c>
      <c r="Y34" s="26">
        <f t="shared" si="16"/>
        <v>0</v>
      </c>
      <c r="Z34" s="12">
        <f t="shared" si="8"/>
        <v>0</v>
      </c>
      <c r="AA34" s="4" t="s">
        <v>10</v>
      </c>
      <c r="AB34" s="11">
        <f>IFERROR(VLOOKUP(AA34,Curr!$B$2:$C$13,2,FALSE),0)</f>
        <v>10.8</v>
      </c>
      <c r="AC34" s="12">
        <f t="shared" si="9"/>
        <v>0</v>
      </c>
      <c r="AD34" s="12">
        <f t="shared" si="10"/>
        <v>0</v>
      </c>
      <c r="AE34" s="13">
        <f t="shared" si="11"/>
        <v>0</v>
      </c>
    </row>
    <row r="35" spans="2:31" x14ac:dyDescent="0.25">
      <c r="B35" s="4"/>
      <c r="E35" s="3" t="s">
        <v>59</v>
      </c>
      <c r="F35" s="3"/>
      <c r="G35" s="24"/>
      <c r="H35" s="24"/>
      <c r="J35" s="1" t="s">
        <v>210</v>
      </c>
      <c r="K35" s="4"/>
      <c r="L35" s="4"/>
      <c r="M35" s="4"/>
      <c r="N35" s="4"/>
      <c r="O35" s="4"/>
      <c r="P35" s="33"/>
      <c r="Q35" s="25">
        <v>0</v>
      </c>
      <c r="R35" s="25">
        <v>0</v>
      </c>
      <c r="S35" s="12">
        <f t="shared" si="13"/>
        <v>0</v>
      </c>
      <c r="T35" s="5">
        <v>0</v>
      </c>
      <c r="U35" s="12">
        <f t="shared" si="14"/>
        <v>0</v>
      </c>
      <c r="V35" s="25" t="s">
        <v>10</v>
      </c>
      <c r="W35" s="11">
        <f>IFERROR(VLOOKUP(V35,Curr!$B$2:$C$13,2,FALSE),0)</f>
        <v>10.8</v>
      </c>
      <c r="X35" s="12">
        <f t="shared" si="15"/>
        <v>0</v>
      </c>
      <c r="Y35" s="26">
        <f t="shared" si="16"/>
        <v>0</v>
      </c>
      <c r="Z35" s="12">
        <f t="shared" si="8"/>
        <v>0</v>
      </c>
      <c r="AA35" s="4" t="s">
        <v>10</v>
      </c>
      <c r="AB35" s="11">
        <f>IFERROR(VLOOKUP(AA35,Curr!$B$2:$C$13,2,FALSE),0)</f>
        <v>10.8</v>
      </c>
      <c r="AC35" s="12">
        <f t="shared" si="9"/>
        <v>0</v>
      </c>
      <c r="AD35" s="12">
        <f t="shared" si="10"/>
        <v>0</v>
      </c>
      <c r="AE35" s="13">
        <f t="shared" si="11"/>
        <v>0</v>
      </c>
    </row>
    <row r="36" spans="2:31" x14ac:dyDescent="0.25">
      <c r="B36" s="4"/>
      <c r="E36" s="3" t="s">
        <v>59</v>
      </c>
      <c r="F36" s="3"/>
      <c r="G36" s="24"/>
      <c r="H36" s="24"/>
      <c r="J36" s="1" t="s">
        <v>114</v>
      </c>
      <c r="K36" s="4"/>
      <c r="L36" s="4"/>
      <c r="M36" s="4"/>
      <c r="N36" s="4"/>
      <c r="O36" s="4"/>
      <c r="P36" s="33"/>
      <c r="Q36" s="25">
        <v>0</v>
      </c>
      <c r="R36" s="25">
        <v>0</v>
      </c>
      <c r="S36" s="12">
        <f t="shared" si="13"/>
        <v>0</v>
      </c>
      <c r="T36" s="5">
        <v>0</v>
      </c>
      <c r="U36" s="12">
        <f t="shared" si="14"/>
        <v>0</v>
      </c>
      <c r="V36" s="25" t="s">
        <v>10</v>
      </c>
      <c r="W36" s="11">
        <f>IFERROR(VLOOKUP(V36,Curr!$B$2:$C$13,2,FALSE),0)</f>
        <v>10.8</v>
      </c>
      <c r="X36" s="12">
        <f t="shared" si="15"/>
        <v>0</v>
      </c>
      <c r="Y36" s="26">
        <f t="shared" si="16"/>
        <v>0</v>
      </c>
      <c r="Z36" s="12">
        <f t="shared" si="8"/>
        <v>0</v>
      </c>
      <c r="AA36" s="4" t="s">
        <v>10</v>
      </c>
      <c r="AB36" s="11">
        <f>IFERROR(VLOOKUP(AA36,Curr!$B$2:$C$13,2,FALSE),0)</f>
        <v>10.8</v>
      </c>
      <c r="AC36" s="12">
        <f t="shared" si="9"/>
        <v>0</v>
      </c>
      <c r="AD36" s="12">
        <f t="shared" si="10"/>
        <v>0</v>
      </c>
      <c r="AE36" s="13">
        <f t="shared" si="11"/>
        <v>0</v>
      </c>
    </row>
    <row r="37" spans="2:31" x14ac:dyDescent="0.25">
      <c r="B37" s="4"/>
      <c r="E37" s="3"/>
      <c r="F37" s="3"/>
      <c r="G37" s="24"/>
      <c r="H37" s="24"/>
      <c r="K37" s="4"/>
      <c r="L37" s="4"/>
      <c r="M37" s="4"/>
      <c r="N37" s="4"/>
      <c r="O37" s="4"/>
      <c r="P37" s="27"/>
      <c r="Q37" s="25"/>
      <c r="R37" s="25"/>
      <c r="S37" s="12">
        <f t="shared" si="13"/>
        <v>0</v>
      </c>
      <c r="T37" s="5">
        <v>0</v>
      </c>
      <c r="U37" s="12">
        <f t="shared" si="14"/>
        <v>0</v>
      </c>
      <c r="V37" s="25" t="s">
        <v>10</v>
      </c>
      <c r="W37" s="11">
        <f>IFERROR(VLOOKUP(V37,Curr!$B$2:$C$13,2,FALSE),0)</f>
        <v>10.8</v>
      </c>
      <c r="X37" s="12">
        <f t="shared" si="15"/>
        <v>0</v>
      </c>
      <c r="Y37" s="26">
        <f t="shared" si="16"/>
        <v>0</v>
      </c>
      <c r="Z37" s="12">
        <f t="shared" si="8"/>
        <v>0</v>
      </c>
      <c r="AA37" s="4" t="s">
        <v>10</v>
      </c>
      <c r="AB37" s="11">
        <f>IFERROR(VLOOKUP(AA37,Curr!$B$2:$C$13,2,FALSE),0)</f>
        <v>10.8</v>
      </c>
      <c r="AC37" s="12">
        <f t="shared" si="9"/>
        <v>0</v>
      </c>
      <c r="AD37" s="12">
        <f t="shared" si="10"/>
        <v>0</v>
      </c>
      <c r="AE37" s="13">
        <f t="shared" si="11"/>
        <v>0</v>
      </c>
    </row>
    <row r="38" spans="2:31" x14ac:dyDescent="0.25">
      <c r="B38" s="4"/>
      <c r="E38" s="3" t="s">
        <v>61</v>
      </c>
      <c r="F38" s="3"/>
      <c r="G38" s="24"/>
      <c r="H38" s="24"/>
      <c r="J38" s="1" t="s">
        <v>201</v>
      </c>
      <c r="K38" s="4"/>
      <c r="L38" s="4"/>
      <c r="M38" s="4"/>
      <c r="N38" s="4"/>
      <c r="O38" s="4"/>
      <c r="P38" s="33"/>
      <c r="Q38" s="25">
        <v>0</v>
      </c>
      <c r="R38" s="25">
        <v>0</v>
      </c>
      <c r="S38" s="12">
        <f t="shared" si="13"/>
        <v>0</v>
      </c>
      <c r="T38" s="5">
        <v>0</v>
      </c>
      <c r="U38" s="12">
        <f t="shared" si="14"/>
        <v>0</v>
      </c>
      <c r="V38" s="25" t="s">
        <v>10</v>
      </c>
      <c r="W38" s="11">
        <f>IFERROR(VLOOKUP(V38,Curr!$B$2:$C$13,2,FALSE),0)</f>
        <v>10.8</v>
      </c>
      <c r="X38" s="12">
        <f t="shared" si="15"/>
        <v>0</v>
      </c>
      <c r="Y38" s="26">
        <f t="shared" si="16"/>
        <v>0</v>
      </c>
      <c r="Z38" s="12">
        <f t="shared" si="8"/>
        <v>0</v>
      </c>
      <c r="AA38" s="4" t="s">
        <v>10</v>
      </c>
      <c r="AB38" s="11">
        <f>IFERROR(VLOOKUP(AA38,Curr!$B$2:$C$13,2,FALSE),0)</f>
        <v>10.8</v>
      </c>
      <c r="AC38" s="12">
        <f t="shared" si="9"/>
        <v>0</v>
      </c>
      <c r="AD38" s="12">
        <f t="shared" si="10"/>
        <v>0</v>
      </c>
      <c r="AE38" s="13">
        <f t="shared" si="11"/>
        <v>0</v>
      </c>
    </row>
    <row r="39" spans="2:31" x14ac:dyDescent="0.25">
      <c r="B39" s="4"/>
      <c r="E39" s="3" t="s">
        <v>61</v>
      </c>
      <c r="F39" s="3"/>
      <c r="G39" s="24"/>
      <c r="H39" s="24"/>
      <c r="J39" s="1" t="s">
        <v>202</v>
      </c>
      <c r="K39" s="4"/>
      <c r="L39" s="4"/>
      <c r="M39" s="4"/>
      <c r="N39" s="4"/>
      <c r="O39" s="4"/>
      <c r="P39" s="33"/>
      <c r="Q39" s="25">
        <v>0</v>
      </c>
      <c r="R39" s="25">
        <v>0</v>
      </c>
      <c r="S39" s="12">
        <f t="shared" si="13"/>
        <v>0</v>
      </c>
      <c r="T39" s="5">
        <v>0</v>
      </c>
      <c r="U39" s="12">
        <f t="shared" si="14"/>
        <v>0</v>
      </c>
      <c r="V39" s="25" t="s">
        <v>10</v>
      </c>
      <c r="W39" s="11">
        <f>IFERROR(VLOOKUP(V39,Curr!$B$2:$C$13,2,FALSE),0)</f>
        <v>10.8</v>
      </c>
      <c r="X39" s="12">
        <f t="shared" si="15"/>
        <v>0</v>
      </c>
      <c r="Y39" s="26">
        <f t="shared" si="16"/>
        <v>0</v>
      </c>
      <c r="Z39" s="12">
        <f t="shared" si="8"/>
        <v>0</v>
      </c>
      <c r="AA39" s="4" t="s">
        <v>10</v>
      </c>
      <c r="AB39" s="11">
        <f>IFERROR(VLOOKUP(AA39,Curr!$B$2:$C$13,2,FALSE),0)</f>
        <v>10.8</v>
      </c>
      <c r="AC39" s="12">
        <f t="shared" si="9"/>
        <v>0</v>
      </c>
      <c r="AD39" s="12">
        <f t="shared" si="10"/>
        <v>0</v>
      </c>
      <c r="AE39" s="13">
        <f t="shared" si="11"/>
        <v>0</v>
      </c>
    </row>
    <row r="40" spans="2:31" x14ac:dyDescent="0.25">
      <c r="B40" s="4"/>
      <c r="E40" s="3" t="s">
        <v>61</v>
      </c>
      <c r="F40" s="3"/>
      <c r="G40" s="24"/>
      <c r="H40" s="24"/>
      <c r="J40" s="1" t="s">
        <v>132</v>
      </c>
      <c r="K40" s="4"/>
      <c r="L40" s="4"/>
      <c r="M40" s="4"/>
      <c r="N40" s="4"/>
      <c r="O40" s="4"/>
      <c r="P40" s="29"/>
      <c r="Q40" s="25">
        <v>0</v>
      </c>
      <c r="R40" s="25">
        <v>0</v>
      </c>
      <c r="S40" s="12">
        <f t="shared" si="13"/>
        <v>0</v>
      </c>
      <c r="T40" s="5">
        <v>0</v>
      </c>
      <c r="U40" s="12">
        <f t="shared" si="14"/>
        <v>0</v>
      </c>
      <c r="V40" s="25" t="s">
        <v>10</v>
      </c>
      <c r="W40" s="11">
        <f>IFERROR(VLOOKUP(V40,Curr!$B$2:$C$13,2,FALSE),0)</f>
        <v>10.8</v>
      </c>
      <c r="X40" s="12">
        <f t="shared" si="15"/>
        <v>0</v>
      </c>
      <c r="Y40" s="26">
        <f t="shared" si="16"/>
        <v>0</v>
      </c>
      <c r="Z40" s="12">
        <f t="shared" si="8"/>
        <v>0</v>
      </c>
      <c r="AA40" s="4" t="s">
        <v>10</v>
      </c>
      <c r="AB40" s="11">
        <f>IFERROR(VLOOKUP(AA40,Curr!$B$2:$C$13,2,FALSE),0)</f>
        <v>10.8</v>
      </c>
      <c r="AC40" s="12">
        <f t="shared" si="9"/>
        <v>0</v>
      </c>
      <c r="AD40" s="12">
        <f t="shared" si="10"/>
        <v>0</v>
      </c>
      <c r="AE40" s="13">
        <f t="shared" si="11"/>
        <v>0</v>
      </c>
    </row>
    <row r="41" spans="2:31" x14ac:dyDescent="0.25">
      <c r="B41" s="4"/>
      <c r="E41" s="3" t="s">
        <v>61</v>
      </c>
      <c r="F41" s="3"/>
      <c r="G41" s="24"/>
      <c r="H41" s="24"/>
      <c r="J41" s="1" t="s">
        <v>181</v>
      </c>
      <c r="K41" s="4"/>
      <c r="L41" s="4"/>
      <c r="M41" s="4"/>
      <c r="N41" s="4"/>
      <c r="O41" s="4"/>
      <c r="P41" s="33"/>
      <c r="Q41" s="25">
        <v>160</v>
      </c>
      <c r="R41" s="25">
        <v>1</v>
      </c>
      <c r="S41" s="12">
        <f t="shared" si="13"/>
        <v>160</v>
      </c>
      <c r="T41" s="5">
        <v>0.2</v>
      </c>
      <c r="U41" s="12">
        <f t="shared" si="14"/>
        <v>128</v>
      </c>
      <c r="V41" s="25" t="s">
        <v>10</v>
      </c>
      <c r="W41" s="11">
        <f>IFERROR(VLOOKUP(V41,Curr!$B$2:$C$13,2,FALSE),0)</f>
        <v>10.8</v>
      </c>
      <c r="X41" s="12">
        <f t="shared" si="15"/>
        <v>1382.4</v>
      </c>
      <c r="Y41" s="26">
        <f t="shared" si="16"/>
        <v>160</v>
      </c>
      <c r="Z41" s="12">
        <f t="shared" si="8"/>
        <v>160</v>
      </c>
      <c r="AA41" s="4" t="s">
        <v>10</v>
      </c>
      <c r="AB41" s="11">
        <f>IFERROR(VLOOKUP(AA41,Curr!$B$2:$C$13,2,FALSE),0)</f>
        <v>10.8</v>
      </c>
      <c r="AC41" s="12">
        <f t="shared" si="9"/>
        <v>1728</v>
      </c>
      <c r="AD41" s="12">
        <f t="shared" si="10"/>
        <v>345.59999999999991</v>
      </c>
      <c r="AE41" s="13">
        <f t="shared" si="11"/>
        <v>0.19999999999999996</v>
      </c>
    </row>
    <row r="42" spans="2:31" x14ac:dyDescent="0.25">
      <c r="B42" s="4"/>
      <c r="E42" s="3" t="s">
        <v>61</v>
      </c>
      <c r="F42" s="3"/>
      <c r="G42" s="24"/>
      <c r="H42" s="24"/>
      <c r="J42" s="1" t="s">
        <v>245</v>
      </c>
      <c r="K42" s="4"/>
      <c r="L42" s="4"/>
      <c r="M42" s="4"/>
      <c r="N42" s="4"/>
      <c r="O42" s="4"/>
      <c r="P42" s="33" t="s">
        <v>243</v>
      </c>
      <c r="Q42" s="25">
        <v>3707</v>
      </c>
      <c r="R42" s="25">
        <v>1</v>
      </c>
      <c r="S42" s="12">
        <f t="shared" si="13"/>
        <v>3707</v>
      </c>
      <c r="T42" s="5">
        <v>0</v>
      </c>
      <c r="U42" s="12">
        <f t="shared" si="14"/>
        <v>3707</v>
      </c>
      <c r="V42" s="25" t="s">
        <v>10</v>
      </c>
      <c r="W42" s="11">
        <f>IFERROR(VLOOKUP(V42,Curr!$B$2:$C$13,2,FALSE),0)</f>
        <v>10.8</v>
      </c>
      <c r="X42" s="12">
        <f t="shared" si="15"/>
        <v>40035.600000000006</v>
      </c>
      <c r="Y42" s="26">
        <f>Q42/0.8</f>
        <v>4633.75</v>
      </c>
      <c r="Z42" s="12">
        <f t="shared" si="8"/>
        <v>4633.75</v>
      </c>
      <c r="AA42" s="4" t="s">
        <v>10</v>
      </c>
      <c r="AB42" s="11">
        <f>IFERROR(VLOOKUP(AA42,Curr!$B$2:$C$13,2,FALSE),0)</f>
        <v>10.8</v>
      </c>
      <c r="AC42" s="12">
        <f t="shared" si="9"/>
        <v>50044.5</v>
      </c>
      <c r="AD42" s="12">
        <f t="shared" si="10"/>
        <v>10008.899999999994</v>
      </c>
      <c r="AE42" s="13">
        <f t="shared" si="11"/>
        <v>0.19999999999999987</v>
      </c>
    </row>
    <row r="43" spans="2:31" x14ac:dyDescent="0.25">
      <c r="B43" s="4"/>
      <c r="E43" s="3" t="s">
        <v>61</v>
      </c>
      <c r="F43" s="3"/>
      <c r="G43" s="24"/>
      <c r="H43" s="24"/>
      <c r="J43" s="1" t="s">
        <v>53</v>
      </c>
      <c r="K43" s="4"/>
      <c r="L43" s="4"/>
      <c r="M43" s="4"/>
      <c r="N43" s="4"/>
      <c r="O43" s="4"/>
      <c r="P43" s="33"/>
      <c r="Q43" s="25">
        <v>0</v>
      </c>
      <c r="R43" s="25">
        <v>0</v>
      </c>
      <c r="S43" s="12">
        <f t="shared" si="13"/>
        <v>0</v>
      </c>
      <c r="T43" s="5">
        <v>0</v>
      </c>
      <c r="U43" s="12">
        <f t="shared" si="14"/>
        <v>0</v>
      </c>
      <c r="V43" s="25" t="s">
        <v>10</v>
      </c>
      <c r="W43" s="11">
        <f>IFERROR(VLOOKUP(V43,Curr!$B$2:$C$13,2,FALSE),0)</f>
        <v>10.8</v>
      </c>
      <c r="X43" s="12">
        <f t="shared" si="15"/>
        <v>0</v>
      </c>
      <c r="Y43" s="26">
        <f t="shared" ref="Y43:Y68" si="21">Q43</f>
        <v>0</v>
      </c>
      <c r="Z43" s="12">
        <f t="shared" si="8"/>
        <v>0</v>
      </c>
      <c r="AA43" s="4" t="s">
        <v>10</v>
      </c>
      <c r="AB43" s="11">
        <f>IFERROR(VLOOKUP(AA43,Curr!$B$2:$C$13,2,FALSE),0)</f>
        <v>10.8</v>
      </c>
      <c r="AC43" s="12">
        <f t="shared" si="9"/>
        <v>0</v>
      </c>
      <c r="AD43" s="12">
        <f t="shared" si="10"/>
        <v>0</v>
      </c>
      <c r="AE43" s="13">
        <f t="shared" si="11"/>
        <v>0</v>
      </c>
    </row>
    <row r="44" spans="2:31" x14ac:dyDescent="0.25">
      <c r="B44" s="4"/>
      <c r="E44" s="3" t="s">
        <v>61</v>
      </c>
      <c r="F44" s="3"/>
      <c r="G44" s="24"/>
      <c r="H44" s="24"/>
      <c r="J44" s="1" t="s">
        <v>150</v>
      </c>
      <c r="K44" s="4"/>
      <c r="L44" s="4"/>
      <c r="M44" s="4"/>
      <c r="N44" s="4"/>
      <c r="O44" s="4"/>
      <c r="P44" s="33" t="s">
        <v>73</v>
      </c>
      <c r="Q44" s="25">
        <v>127</v>
      </c>
      <c r="R44" s="25">
        <v>4</v>
      </c>
      <c r="S44" s="12">
        <f t="shared" si="13"/>
        <v>508</v>
      </c>
      <c r="T44" s="5">
        <v>0.25</v>
      </c>
      <c r="U44" s="12">
        <f t="shared" si="14"/>
        <v>381</v>
      </c>
      <c r="V44" s="25" t="s">
        <v>10</v>
      </c>
      <c r="W44" s="11">
        <f>IFERROR(VLOOKUP(V44,Curr!$B$2:$C$13,2,FALSE),0)</f>
        <v>10.8</v>
      </c>
      <c r="X44" s="12">
        <f t="shared" si="15"/>
        <v>4114.8</v>
      </c>
      <c r="Y44" s="26">
        <f t="shared" si="21"/>
        <v>127</v>
      </c>
      <c r="Z44" s="12">
        <f t="shared" si="8"/>
        <v>508</v>
      </c>
      <c r="AA44" s="4" t="s">
        <v>10</v>
      </c>
      <c r="AB44" s="11">
        <f>IFERROR(VLOOKUP(AA44,Curr!$B$2:$C$13,2,FALSE),0)</f>
        <v>10.8</v>
      </c>
      <c r="AC44" s="12">
        <f t="shared" si="9"/>
        <v>5486.4000000000005</v>
      </c>
      <c r="AD44" s="12">
        <f t="shared" si="10"/>
        <v>1371.6000000000004</v>
      </c>
      <c r="AE44" s="13">
        <f t="shared" si="11"/>
        <v>0.25000000000000006</v>
      </c>
    </row>
    <row r="45" spans="2:31" x14ac:dyDescent="0.25">
      <c r="B45" s="4"/>
      <c r="E45" s="3"/>
      <c r="F45" s="3"/>
      <c r="G45" s="24"/>
      <c r="H45" s="24"/>
      <c r="K45" s="4"/>
      <c r="L45" s="4"/>
      <c r="M45" s="4"/>
      <c r="N45" s="4"/>
      <c r="O45" s="4"/>
      <c r="P45" s="33"/>
      <c r="Q45" s="25"/>
      <c r="R45" s="25"/>
      <c r="S45" s="12">
        <f t="shared" si="13"/>
        <v>0</v>
      </c>
      <c r="T45" s="5">
        <v>0</v>
      </c>
      <c r="U45" s="12">
        <f t="shared" si="14"/>
        <v>0</v>
      </c>
      <c r="V45" s="25" t="s">
        <v>10</v>
      </c>
      <c r="W45" s="11">
        <f>IFERROR(VLOOKUP(V45,Curr!$B$2:$C$13,2,FALSE),0)</f>
        <v>10.8</v>
      </c>
      <c r="X45" s="12">
        <f t="shared" si="15"/>
        <v>0</v>
      </c>
      <c r="Y45" s="26">
        <f t="shared" si="21"/>
        <v>0</v>
      </c>
      <c r="Z45" s="12">
        <f t="shared" si="8"/>
        <v>0</v>
      </c>
      <c r="AA45" s="4" t="s">
        <v>10</v>
      </c>
      <c r="AB45" s="11">
        <f>IFERROR(VLOOKUP(AA45,Curr!$B$2:$C$13,2,FALSE),0)</f>
        <v>10.8</v>
      </c>
      <c r="AC45" s="12">
        <f t="shared" si="9"/>
        <v>0</v>
      </c>
      <c r="AD45" s="12">
        <f t="shared" si="10"/>
        <v>0</v>
      </c>
      <c r="AE45" s="13">
        <f t="shared" si="11"/>
        <v>0</v>
      </c>
    </row>
    <row r="46" spans="2:31" x14ac:dyDescent="0.25">
      <c r="B46" s="4"/>
      <c r="E46" s="3" t="s">
        <v>63</v>
      </c>
      <c r="F46" s="3"/>
      <c r="G46" s="24"/>
      <c r="H46" s="24"/>
      <c r="J46" s="1" t="s">
        <v>233</v>
      </c>
      <c r="K46" s="4"/>
      <c r="L46" s="4"/>
      <c r="M46" s="4"/>
      <c r="N46" s="4"/>
      <c r="O46" s="4"/>
      <c r="P46" s="33" t="s">
        <v>71</v>
      </c>
      <c r="Q46" s="25">
        <v>35</v>
      </c>
      <c r="R46" s="25">
        <v>4</v>
      </c>
      <c r="S46" s="12">
        <f t="shared" si="13"/>
        <v>140</v>
      </c>
      <c r="T46" s="5">
        <v>0.2</v>
      </c>
      <c r="U46" s="12">
        <f t="shared" si="14"/>
        <v>112</v>
      </c>
      <c r="V46" s="25" t="s">
        <v>10</v>
      </c>
      <c r="W46" s="11">
        <f>IFERROR(VLOOKUP(V46,Curr!$B$2:$C$13,2,FALSE),0)</f>
        <v>10.8</v>
      </c>
      <c r="X46" s="12">
        <f t="shared" si="15"/>
        <v>1209.6000000000001</v>
      </c>
      <c r="Y46" s="26">
        <f>Q46/0.8</f>
        <v>43.75</v>
      </c>
      <c r="Z46" s="12">
        <f t="shared" si="8"/>
        <v>175</v>
      </c>
      <c r="AA46" s="4" t="s">
        <v>10</v>
      </c>
      <c r="AB46" s="11">
        <f>IFERROR(VLOOKUP(AA46,Curr!$B$2:$C$13,2,FALSE),0)</f>
        <v>10.8</v>
      </c>
      <c r="AC46" s="12">
        <f t="shared" si="9"/>
        <v>1890.0000000000002</v>
      </c>
      <c r="AD46" s="12">
        <f t="shared" si="10"/>
        <v>680.40000000000009</v>
      </c>
      <c r="AE46" s="13">
        <f t="shared" si="11"/>
        <v>0.36</v>
      </c>
    </row>
    <row r="47" spans="2:31" x14ac:dyDescent="0.25">
      <c r="B47" s="4"/>
      <c r="E47" s="3" t="s">
        <v>63</v>
      </c>
      <c r="F47" s="3"/>
      <c r="G47" s="24"/>
      <c r="H47" s="24"/>
      <c r="J47" s="1" t="s">
        <v>53</v>
      </c>
      <c r="K47" s="4"/>
      <c r="L47" s="4"/>
      <c r="M47" s="4"/>
      <c r="N47" s="4"/>
      <c r="O47" s="4"/>
      <c r="P47" s="33"/>
      <c r="Q47" s="25">
        <v>0</v>
      </c>
      <c r="R47" s="25">
        <v>0</v>
      </c>
      <c r="S47" s="12">
        <f t="shared" si="13"/>
        <v>0</v>
      </c>
      <c r="T47" s="5">
        <v>0</v>
      </c>
      <c r="U47" s="12">
        <f t="shared" si="14"/>
        <v>0</v>
      </c>
      <c r="V47" s="25" t="s">
        <v>10</v>
      </c>
      <c r="W47" s="11">
        <f>IFERROR(VLOOKUP(V47,Curr!$B$2:$C$13,2,FALSE),0)</f>
        <v>10.8</v>
      </c>
      <c r="X47" s="12">
        <f t="shared" si="15"/>
        <v>0</v>
      </c>
      <c r="Y47" s="26">
        <f t="shared" si="21"/>
        <v>0</v>
      </c>
      <c r="Z47" s="12">
        <f t="shared" si="8"/>
        <v>0</v>
      </c>
      <c r="AA47" s="4" t="s">
        <v>10</v>
      </c>
      <c r="AB47" s="11">
        <f>IFERROR(VLOOKUP(AA47,Curr!$B$2:$C$13,2,FALSE),0)</f>
        <v>10.8</v>
      </c>
      <c r="AC47" s="12">
        <f t="shared" si="9"/>
        <v>0</v>
      </c>
      <c r="AD47" s="12">
        <f t="shared" si="10"/>
        <v>0</v>
      </c>
      <c r="AE47" s="13">
        <f t="shared" si="11"/>
        <v>0</v>
      </c>
    </row>
    <row r="48" spans="2:31" x14ac:dyDescent="0.25">
      <c r="B48" s="4"/>
      <c r="E48" s="3"/>
      <c r="F48" s="3"/>
      <c r="G48" s="1"/>
      <c r="H48" s="1"/>
      <c r="K48" s="4"/>
      <c r="L48" s="4"/>
      <c r="M48" s="4"/>
      <c r="N48" s="4"/>
      <c r="O48" s="4"/>
      <c r="P48" s="33"/>
      <c r="Q48" s="25"/>
      <c r="R48" s="25"/>
      <c r="S48" s="12">
        <f t="shared" si="13"/>
        <v>0</v>
      </c>
      <c r="T48" s="5">
        <v>0</v>
      </c>
      <c r="U48" s="12">
        <f t="shared" si="14"/>
        <v>0</v>
      </c>
      <c r="V48" s="25" t="s">
        <v>10</v>
      </c>
      <c r="W48" s="11">
        <f>IFERROR(VLOOKUP(V48,Curr!$B$2:$C$13,2,FALSE),0)</f>
        <v>10.8</v>
      </c>
      <c r="X48" s="12">
        <f t="shared" si="15"/>
        <v>0</v>
      </c>
      <c r="Y48" s="26">
        <f t="shared" si="21"/>
        <v>0</v>
      </c>
      <c r="Z48" s="12">
        <f t="shared" si="8"/>
        <v>0</v>
      </c>
      <c r="AA48" s="4" t="s">
        <v>10</v>
      </c>
      <c r="AB48" s="11">
        <f>IFERROR(VLOOKUP(AA48,Curr!$B$2:$C$13,2,FALSE),0)</f>
        <v>10.8</v>
      </c>
      <c r="AC48" s="12">
        <f t="shared" si="9"/>
        <v>0</v>
      </c>
      <c r="AD48" s="12">
        <f t="shared" si="10"/>
        <v>0</v>
      </c>
      <c r="AE48" s="13">
        <f t="shared" si="11"/>
        <v>0</v>
      </c>
    </row>
    <row r="49" spans="2:31" x14ac:dyDescent="0.25">
      <c r="B49" s="4"/>
      <c r="E49" s="3" t="s">
        <v>64</v>
      </c>
      <c r="F49" s="1"/>
      <c r="G49" s="1"/>
      <c r="H49" s="1"/>
      <c r="J49" s="1" t="s">
        <v>182</v>
      </c>
      <c r="K49" s="4"/>
      <c r="L49" s="4"/>
      <c r="M49" s="4"/>
      <c r="N49" s="4"/>
      <c r="O49" s="4"/>
      <c r="P49" s="33"/>
      <c r="Q49" s="25">
        <v>0</v>
      </c>
      <c r="R49" s="25">
        <v>0</v>
      </c>
      <c r="S49" s="12">
        <f t="shared" si="13"/>
        <v>0</v>
      </c>
      <c r="T49" s="5">
        <v>0</v>
      </c>
      <c r="U49" s="12">
        <f t="shared" si="14"/>
        <v>0</v>
      </c>
      <c r="V49" s="25" t="s">
        <v>10</v>
      </c>
      <c r="W49" s="11">
        <f>IFERROR(VLOOKUP(V49,Curr!$B$2:$C$13,2,FALSE),0)</f>
        <v>10.8</v>
      </c>
      <c r="X49" s="12">
        <f t="shared" si="15"/>
        <v>0</v>
      </c>
      <c r="Y49" s="26">
        <f t="shared" si="21"/>
        <v>0</v>
      </c>
      <c r="Z49" s="12">
        <f t="shared" si="8"/>
        <v>0</v>
      </c>
      <c r="AA49" s="4" t="s">
        <v>10</v>
      </c>
      <c r="AB49" s="11">
        <f>IFERROR(VLOOKUP(AA49,Curr!$B$2:$C$13,2,FALSE),0)</f>
        <v>10.8</v>
      </c>
      <c r="AC49" s="12">
        <f t="shared" si="9"/>
        <v>0</v>
      </c>
      <c r="AD49" s="12">
        <f t="shared" si="10"/>
        <v>0</v>
      </c>
      <c r="AE49" s="13">
        <f t="shared" si="11"/>
        <v>0</v>
      </c>
    </row>
    <row r="50" spans="2:31" x14ac:dyDescent="0.25">
      <c r="B50" s="4"/>
      <c r="E50" s="3" t="s">
        <v>64</v>
      </c>
      <c r="F50" s="1"/>
      <c r="G50" s="1"/>
      <c r="H50" s="1"/>
      <c r="J50" s="1" t="s">
        <v>194</v>
      </c>
      <c r="K50" s="4"/>
      <c r="L50" s="4"/>
      <c r="M50" s="4"/>
      <c r="N50" s="4"/>
      <c r="O50" s="4"/>
      <c r="P50" s="33" t="s">
        <v>221</v>
      </c>
      <c r="Q50" s="25">
        <v>564</v>
      </c>
      <c r="R50" s="25">
        <v>1</v>
      </c>
      <c r="S50" s="12">
        <f t="shared" si="13"/>
        <v>564</v>
      </c>
      <c r="T50" s="5">
        <v>0</v>
      </c>
      <c r="U50" s="12">
        <f t="shared" si="14"/>
        <v>564</v>
      </c>
      <c r="V50" s="25" t="s">
        <v>10</v>
      </c>
      <c r="W50" s="11">
        <f>IFERROR(VLOOKUP(V50,Curr!$B$2:$C$13,2,FALSE),0)</f>
        <v>10.8</v>
      </c>
      <c r="X50" s="12">
        <f t="shared" si="15"/>
        <v>6091.2000000000007</v>
      </c>
      <c r="Y50" s="26">
        <f>Q50/0.8</f>
        <v>705</v>
      </c>
      <c r="Z50" s="12">
        <f t="shared" si="8"/>
        <v>705</v>
      </c>
      <c r="AA50" s="4" t="s">
        <v>10</v>
      </c>
      <c r="AB50" s="11">
        <f>IFERROR(VLOOKUP(AA50,Curr!$B$2:$C$13,2,FALSE),0)</f>
        <v>10.8</v>
      </c>
      <c r="AC50" s="12">
        <f t="shared" si="9"/>
        <v>7614.0000000000009</v>
      </c>
      <c r="AD50" s="12">
        <f t="shared" si="10"/>
        <v>1522.8000000000002</v>
      </c>
      <c r="AE50" s="13">
        <f t="shared" si="11"/>
        <v>0.2</v>
      </c>
    </row>
    <row r="51" spans="2:31" x14ac:dyDescent="0.25">
      <c r="B51" s="4"/>
      <c r="E51" s="3" t="s">
        <v>64</v>
      </c>
      <c r="F51" s="3"/>
      <c r="G51" s="24"/>
      <c r="H51" s="24"/>
      <c r="J51" s="1" t="s">
        <v>218</v>
      </c>
      <c r="K51" s="4"/>
      <c r="L51" s="4"/>
      <c r="M51" s="4"/>
      <c r="N51" s="4"/>
      <c r="O51" s="4"/>
      <c r="P51" s="33"/>
      <c r="Q51" s="25">
        <v>0</v>
      </c>
      <c r="R51" s="25">
        <v>0</v>
      </c>
      <c r="S51" s="12">
        <f t="shared" si="13"/>
        <v>0</v>
      </c>
      <c r="T51" s="5">
        <v>0</v>
      </c>
      <c r="U51" s="12">
        <f t="shared" si="14"/>
        <v>0</v>
      </c>
      <c r="V51" s="25" t="s">
        <v>10</v>
      </c>
      <c r="W51" s="11">
        <f>IFERROR(VLOOKUP(V51,Curr!$B$2:$C$13,2,FALSE),0)</f>
        <v>10.8</v>
      </c>
      <c r="X51" s="12">
        <f t="shared" si="15"/>
        <v>0</v>
      </c>
      <c r="Y51" s="26">
        <f t="shared" si="21"/>
        <v>0</v>
      </c>
      <c r="Z51" s="12">
        <f t="shared" si="8"/>
        <v>0</v>
      </c>
      <c r="AA51" s="4" t="s">
        <v>10</v>
      </c>
      <c r="AB51" s="11">
        <f>IFERROR(VLOOKUP(AA51,Curr!$B$2:$C$13,2,FALSE),0)</f>
        <v>10.8</v>
      </c>
      <c r="AC51" s="12">
        <f t="shared" si="9"/>
        <v>0</v>
      </c>
      <c r="AD51" s="12">
        <f t="shared" si="10"/>
        <v>0</v>
      </c>
      <c r="AE51" s="13">
        <f t="shared" si="11"/>
        <v>0</v>
      </c>
    </row>
    <row r="52" spans="2:31" x14ac:dyDescent="0.25">
      <c r="B52" s="4"/>
      <c r="E52" s="3" t="s">
        <v>64</v>
      </c>
      <c r="F52" s="3"/>
      <c r="G52" s="24"/>
      <c r="H52" s="24"/>
      <c r="J52" s="1" t="s">
        <v>219</v>
      </c>
      <c r="K52" s="4"/>
      <c r="L52" s="4"/>
      <c r="M52" s="4"/>
      <c r="N52" s="4"/>
      <c r="O52" s="4"/>
      <c r="P52" s="33" t="s">
        <v>220</v>
      </c>
      <c r="Q52" s="25">
        <v>607</v>
      </c>
      <c r="R52" s="25">
        <v>1</v>
      </c>
      <c r="S52" s="12">
        <f t="shared" si="13"/>
        <v>607</v>
      </c>
      <c r="T52" s="5">
        <v>0</v>
      </c>
      <c r="U52" s="12">
        <f t="shared" si="14"/>
        <v>607</v>
      </c>
      <c r="V52" s="25" t="s">
        <v>10</v>
      </c>
      <c r="W52" s="11">
        <f>IFERROR(VLOOKUP(V52,Curr!$B$2:$C$13,2,FALSE),0)</f>
        <v>10.8</v>
      </c>
      <c r="X52" s="12">
        <f t="shared" si="15"/>
        <v>6555.6</v>
      </c>
      <c r="Y52" s="26">
        <f>Q52/0.8</f>
        <v>758.75</v>
      </c>
      <c r="Z52" s="12">
        <f t="shared" si="8"/>
        <v>758.75</v>
      </c>
      <c r="AA52" s="4" t="s">
        <v>10</v>
      </c>
      <c r="AB52" s="11">
        <f>IFERROR(VLOOKUP(AA52,Curr!$B$2:$C$13,2,FALSE),0)</f>
        <v>10.8</v>
      </c>
      <c r="AC52" s="12">
        <f t="shared" si="9"/>
        <v>8194.5</v>
      </c>
      <c r="AD52" s="12">
        <f t="shared" si="10"/>
        <v>1638.8999999999996</v>
      </c>
      <c r="AE52" s="13">
        <f t="shared" si="11"/>
        <v>0.19999999999999996</v>
      </c>
    </row>
    <row r="53" spans="2:31" x14ac:dyDescent="0.25">
      <c r="B53" s="4"/>
      <c r="E53" s="3" t="s">
        <v>64</v>
      </c>
      <c r="F53" s="3"/>
      <c r="G53" s="24"/>
      <c r="H53" s="24"/>
      <c r="J53" s="1" t="s">
        <v>185</v>
      </c>
      <c r="K53" s="4"/>
      <c r="L53" s="4"/>
      <c r="M53" s="4"/>
      <c r="N53" s="4"/>
      <c r="O53" s="4"/>
      <c r="P53" s="33"/>
      <c r="Q53" s="25">
        <v>0</v>
      </c>
      <c r="R53" s="25">
        <v>0</v>
      </c>
      <c r="S53" s="12">
        <f t="shared" si="13"/>
        <v>0</v>
      </c>
      <c r="T53" s="5">
        <v>0</v>
      </c>
      <c r="U53" s="12">
        <f t="shared" si="14"/>
        <v>0</v>
      </c>
      <c r="V53" s="25" t="s">
        <v>10</v>
      </c>
      <c r="W53" s="11">
        <f>IFERROR(VLOOKUP(V53,Curr!$B$2:$C$13,2,FALSE),0)</f>
        <v>10.8</v>
      </c>
      <c r="X53" s="12">
        <f t="shared" si="15"/>
        <v>0</v>
      </c>
      <c r="Y53" s="26">
        <f t="shared" si="21"/>
        <v>0</v>
      </c>
      <c r="Z53" s="12">
        <f t="shared" si="8"/>
        <v>0</v>
      </c>
      <c r="AA53" s="4" t="s">
        <v>10</v>
      </c>
      <c r="AB53" s="11">
        <f>IFERROR(VLOOKUP(AA53,Curr!$B$2:$C$13,2,FALSE),0)</f>
        <v>10.8</v>
      </c>
      <c r="AC53" s="12">
        <f t="shared" si="9"/>
        <v>0</v>
      </c>
      <c r="AD53" s="12">
        <f t="shared" si="10"/>
        <v>0</v>
      </c>
      <c r="AE53" s="13">
        <f t="shared" si="11"/>
        <v>0</v>
      </c>
    </row>
    <row r="54" spans="2:31" x14ac:dyDescent="0.25">
      <c r="B54" s="4"/>
      <c r="E54" s="3"/>
      <c r="F54" s="3"/>
      <c r="G54" s="24"/>
      <c r="H54" s="24"/>
      <c r="K54" s="4"/>
      <c r="L54" s="4"/>
      <c r="M54" s="4"/>
      <c r="N54" s="4"/>
      <c r="O54" s="4"/>
      <c r="P54" s="33"/>
      <c r="Q54" s="25"/>
      <c r="R54" s="25"/>
      <c r="S54" s="12">
        <f t="shared" si="13"/>
        <v>0</v>
      </c>
      <c r="T54" s="5">
        <v>0</v>
      </c>
      <c r="U54" s="12">
        <f t="shared" si="14"/>
        <v>0</v>
      </c>
      <c r="V54" s="25" t="s">
        <v>10</v>
      </c>
      <c r="W54" s="11">
        <f>IFERROR(VLOOKUP(V54,Curr!$B$2:$C$13,2,FALSE),0)</f>
        <v>10.8</v>
      </c>
      <c r="X54" s="12">
        <f t="shared" si="15"/>
        <v>0</v>
      </c>
      <c r="Y54" s="26">
        <f>Q54/0.8</f>
        <v>0</v>
      </c>
      <c r="Z54" s="12">
        <f t="shared" si="8"/>
        <v>0</v>
      </c>
      <c r="AA54" s="4" t="s">
        <v>10</v>
      </c>
      <c r="AB54" s="11">
        <f>IFERROR(VLOOKUP(AA54,Curr!$B$2:$C$13,2,FALSE),0)</f>
        <v>10.8</v>
      </c>
      <c r="AC54" s="12">
        <f t="shared" si="9"/>
        <v>0</v>
      </c>
      <c r="AD54" s="12">
        <f t="shared" si="10"/>
        <v>0</v>
      </c>
      <c r="AE54" s="13">
        <f t="shared" si="11"/>
        <v>0</v>
      </c>
    </row>
    <row r="55" spans="2:31" x14ac:dyDescent="0.25">
      <c r="B55" s="4"/>
      <c r="E55" s="3" t="s">
        <v>68</v>
      </c>
      <c r="F55" s="3"/>
      <c r="G55" s="24"/>
      <c r="H55" s="24"/>
      <c r="J55" s="1" t="s">
        <v>222</v>
      </c>
      <c r="K55" s="4"/>
      <c r="L55" s="4"/>
      <c r="M55" s="4"/>
      <c r="N55" s="4"/>
      <c r="O55" s="4"/>
      <c r="P55" s="33"/>
      <c r="Q55" s="25">
        <v>0</v>
      </c>
      <c r="R55" s="25">
        <v>0</v>
      </c>
      <c r="S55" s="12">
        <f t="shared" si="13"/>
        <v>0</v>
      </c>
      <c r="T55" s="5">
        <v>0</v>
      </c>
      <c r="U55" s="12">
        <f t="shared" si="14"/>
        <v>0</v>
      </c>
      <c r="V55" s="25" t="s">
        <v>10</v>
      </c>
      <c r="W55" s="11">
        <f>IFERROR(VLOOKUP(V55,Curr!$B$2:$C$13,2,FALSE),0)</f>
        <v>10.8</v>
      </c>
      <c r="X55" s="12">
        <f t="shared" si="15"/>
        <v>0</v>
      </c>
      <c r="Y55" s="26">
        <f t="shared" si="21"/>
        <v>0</v>
      </c>
      <c r="Z55" s="12">
        <f t="shared" si="8"/>
        <v>0</v>
      </c>
      <c r="AA55" s="4" t="s">
        <v>10</v>
      </c>
      <c r="AB55" s="11">
        <f>IFERROR(VLOOKUP(AA55,Curr!$B$2:$C$13,2,FALSE),0)</f>
        <v>10.8</v>
      </c>
      <c r="AC55" s="12">
        <f t="shared" si="9"/>
        <v>0</v>
      </c>
      <c r="AD55" s="12">
        <f t="shared" si="10"/>
        <v>0</v>
      </c>
      <c r="AE55" s="13">
        <f t="shared" si="11"/>
        <v>0</v>
      </c>
    </row>
    <row r="56" spans="2:31" x14ac:dyDescent="0.25">
      <c r="B56" s="4"/>
      <c r="E56" s="3" t="s">
        <v>68</v>
      </c>
      <c r="F56" s="3"/>
      <c r="G56" s="24"/>
      <c r="H56" s="24"/>
      <c r="J56" s="1" t="s">
        <v>234</v>
      </c>
      <c r="K56" s="4"/>
      <c r="L56" s="4"/>
      <c r="M56" s="4"/>
      <c r="N56" s="4"/>
      <c r="O56" s="4"/>
      <c r="P56" s="33" t="s">
        <v>215</v>
      </c>
      <c r="Q56" s="25">
        <v>4127</v>
      </c>
      <c r="R56" s="25">
        <v>1</v>
      </c>
      <c r="S56" s="12">
        <f t="shared" si="13"/>
        <v>4127</v>
      </c>
      <c r="T56" s="5">
        <v>0</v>
      </c>
      <c r="U56" s="12">
        <f t="shared" si="14"/>
        <v>4127</v>
      </c>
      <c r="V56" s="25" t="s">
        <v>10</v>
      </c>
      <c r="W56" s="11">
        <f>IFERROR(VLOOKUP(V56,Curr!$B$2:$C$13,2,FALSE),0)</f>
        <v>10.8</v>
      </c>
      <c r="X56" s="12">
        <f t="shared" si="15"/>
        <v>44571.600000000006</v>
      </c>
      <c r="Y56" s="26">
        <f>Q56/0.85</f>
        <v>4855.2941176470586</v>
      </c>
      <c r="Z56" s="12">
        <f t="shared" si="8"/>
        <v>4855.2941176470586</v>
      </c>
      <c r="AA56" s="4" t="s">
        <v>10</v>
      </c>
      <c r="AB56" s="11">
        <f>IFERROR(VLOOKUP(AA56,Curr!$B$2:$C$13,2,FALSE),0)</f>
        <v>10.8</v>
      </c>
      <c r="AC56" s="12">
        <f t="shared" si="9"/>
        <v>52437.176470588238</v>
      </c>
      <c r="AD56" s="12">
        <f t="shared" si="10"/>
        <v>7865.576470588232</v>
      </c>
      <c r="AE56" s="13">
        <f t="shared" si="11"/>
        <v>0.14999999999999994</v>
      </c>
    </row>
    <row r="57" spans="2:31" x14ac:dyDescent="0.25">
      <c r="B57" s="4"/>
      <c r="E57" s="3" t="s">
        <v>68</v>
      </c>
      <c r="F57" s="3"/>
      <c r="G57" s="24"/>
      <c r="H57" s="24"/>
      <c r="J57" s="1" t="s">
        <v>143</v>
      </c>
      <c r="K57" s="4"/>
      <c r="L57" s="4"/>
      <c r="M57" s="4"/>
      <c r="N57" s="4"/>
      <c r="O57" s="4"/>
      <c r="P57" s="33" t="s">
        <v>72</v>
      </c>
      <c r="Q57" s="25">
        <v>46</v>
      </c>
      <c r="R57" s="25">
        <v>4</v>
      </c>
      <c r="S57" s="12">
        <f t="shared" si="13"/>
        <v>184</v>
      </c>
      <c r="T57" s="5">
        <v>0.2</v>
      </c>
      <c r="U57" s="12">
        <f t="shared" si="14"/>
        <v>147.20000000000002</v>
      </c>
      <c r="V57" s="25" t="s">
        <v>10</v>
      </c>
      <c r="W57" s="11">
        <f>IFERROR(VLOOKUP(V57,Curr!$B$2:$C$13,2,FALSE),0)</f>
        <v>10.8</v>
      </c>
      <c r="X57" s="12">
        <f t="shared" si="15"/>
        <v>1589.7600000000002</v>
      </c>
      <c r="Y57" s="26">
        <f>Q57/0.9</f>
        <v>51.111111111111107</v>
      </c>
      <c r="Z57" s="12">
        <f t="shared" si="8"/>
        <v>204.44444444444443</v>
      </c>
      <c r="AA57" s="4" t="s">
        <v>10</v>
      </c>
      <c r="AB57" s="11">
        <f>IFERROR(VLOOKUP(AA57,Curr!$B$2:$C$13,2,FALSE),0)</f>
        <v>10.8</v>
      </c>
      <c r="AC57" s="12">
        <f t="shared" si="9"/>
        <v>2208</v>
      </c>
      <c r="AD57" s="12">
        <f t="shared" si="10"/>
        <v>618.23999999999978</v>
      </c>
      <c r="AE57" s="13">
        <f t="shared" si="11"/>
        <v>0.27999999999999992</v>
      </c>
    </row>
    <row r="58" spans="2:31" x14ac:dyDescent="0.25">
      <c r="B58" s="4"/>
      <c r="E58" s="3" t="s">
        <v>68</v>
      </c>
      <c r="F58" s="3"/>
      <c r="G58" s="24"/>
      <c r="H58" s="24"/>
      <c r="J58" s="1" t="s">
        <v>87</v>
      </c>
      <c r="K58" s="4"/>
      <c r="L58" s="4"/>
      <c r="M58" s="4"/>
      <c r="N58" s="4"/>
      <c r="O58" s="4"/>
      <c r="P58" s="33"/>
      <c r="Q58" s="25">
        <v>0</v>
      </c>
      <c r="R58" s="25">
        <v>0</v>
      </c>
      <c r="S58" s="12">
        <f t="shared" si="13"/>
        <v>0</v>
      </c>
      <c r="T58" s="5">
        <v>0</v>
      </c>
      <c r="U58" s="12">
        <f t="shared" si="14"/>
        <v>0</v>
      </c>
      <c r="V58" s="25" t="s">
        <v>10</v>
      </c>
      <c r="W58" s="11">
        <f>IFERROR(VLOOKUP(V58,Curr!$B$2:$C$13,2,FALSE),0)</f>
        <v>10.8</v>
      </c>
      <c r="X58" s="12">
        <f t="shared" si="15"/>
        <v>0</v>
      </c>
      <c r="Y58" s="26">
        <f t="shared" si="21"/>
        <v>0</v>
      </c>
      <c r="Z58" s="12">
        <f t="shared" si="8"/>
        <v>0</v>
      </c>
      <c r="AA58" s="4" t="s">
        <v>10</v>
      </c>
      <c r="AB58" s="11">
        <f>IFERROR(VLOOKUP(AA58,Curr!$B$2:$C$13,2,FALSE),0)</f>
        <v>10.8</v>
      </c>
      <c r="AC58" s="12">
        <f t="shared" si="9"/>
        <v>0</v>
      </c>
      <c r="AD58" s="12">
        <f t="shared" si="10"/>
        <v>0</v>
      </c>
      <c r="AE58" s="13">
        <f t="shared" si="11"/>
        <v>0</v>
      </c>
    </row>
    <row r="59" spans="2:31" x14ac:dyDescent="0.25">
      <c r="B59" s="4"/>
      <c r="E59" s="3"/>
      <c r="F59" s="3"/>
      <c r="G59" s="24"/>
      <c r="H59" s="24"/>
      <c r="K59" s="4"/>
      <c r="L59" s="4"/>
      <c r="M59" s="4"/>
      <c r="N59" s="4"/>
      <c r="O59" s="4"/>
      <c r="P59" s="33"/>
      <c r="Q59" s="25"/>
      <c r="R59" s="25"/>
      <c r="S59" s="12">
        <f t="shared" si="13"/>
        <v>0</v>
      </c>
      <c r="T59" s="5">
        <v>0</v>
      </c>
      <c r="U59" s="12">
        <f t="shared" si="14"/>
        <v>0</v>
      </c>
      <c r="V59" s="25" t="s">
        <v>10</v>
      </c>
      <c r="W59" s="11">
        <f>IFERROR(VLOOKUP(V59,Curr!$B$2:$C$13,2,FALSE),0)</f>
        <v>10.8</v>
      </c>
      <c r="X59" s="12">
        <f t="shared" si="15"/>
        <v>0</v>
      </c>
      <c r="Y59" s="26">
        <f t="shared" si="21"/>
        <v>0</v>
      </c>
      <c r="Z59" s="12">
        <f t="shared" si="8"/>
        <v>0</v>
      </c>
      <c r="AA59" s="4" t="s">
        <v>10</v>
      </c>
      <c r="AB59" s="11">
        <f>IFERROR(VLOOKUP(AA59,Curr!$B$2:$C$13,2,FALSE),0)</f>
        <v>10.8</v>
      </c>
      <c r="AC59" s="12">
        <f t="shared" si="9"/>
        <v>0</v>
      </c>
      <c r="AD59" s="12">
        <f t="shared" si="10"/>
        <v>0</v>
      </c>
      <c r="AE59" s="13">
        <f t="shared" si="11"/>
        <v>0</v>
      </c>
    </row>
    <row r="60" spans="2:31" x14ac:dyDescent="0.25">
      <c r="B60" s="4"/>
      <c r="E60" s="3"/>
      <c r="F60" s="3"/>
      <c r="G60" s="24"/>
      <c r="H60" s="24"/>
      <c r="J60" s="1" t="s">
        <v>87</v>
      </c>
      <c r="K60" s="4"/>
      <c r="L60" s="4"/>
      <c r="M60" s="4"/>
      <c r="N60" s="4"/>
      <c r="O60" s="4"/>
      <c r="P60" s="33"/>
      <c r="Q60" s="25">
        <v>0</v>
      </c>
      <c r="R60" s="25">
        <v>0</v>
      </c>
      <c r="S60" s="12">
        <f t="shared" si="13"/>
        <v>0</v>
      </c>
      <c r="T60" s="5">
        <v>0</v>
      </c>
      <c r="U60" s="12">
        <f t="shared" si="14"/>
        <v>0</v>
      </c>
      <c r="V60" s="25" t="s">
        <v>10</v>
      </c>
      <c r="W60" s="11">
        <f>IFERROR(VLOOKUP(V60,Curr!$B$2:$C$13,2,FALSE),0)</f>
        <v>10.8</v>
      </c>
      <c r="X60" s="12">
        <f t="shared" si="15"/>
        <v>0</v>
      </c>
      <c r="Y60" s="26">
        <f t="shared" si="21"/>
        <v>0</v>
      </c>
      <c r="Z60" s="12">
        <f t="shared" si="8"/>
        <v>0</v>
      </c>
      <c r="AA60" s="4" t="s">
        <v>10</v>
      </c>
      <c r="AB60" s="11">
        <f>IFERROR(VLOOKUP(AA60,Curr!$B$2:$C$13,2,FALSE),0)</f>
        <v>10.8</v>
      </c>
      <c r="AC60" s="12">
        <f t="shared" si="9"/>
        <v>0</v>
      </c>
      <c r="AD60" s="12">
        <f t="shared" si="10"/>
        <v>0</v>
      </c>
      <c r="AE60" s="13">
        <f t="shared" si="11"/>
        <v>0</v>
      </c>
    </row>
    <row r="61" spans="2:31" x14ac:dyDescent="0.25">
      <c r="B61" s="4"/>
      <c r="E61" s="3"/>
      <c r="F61" s="3"/>
      <c r="G61" s="24"/>
      <c r="H61" s="24"/>
      <c r="J61" s="1" t="s">
        <v>69</v>
      </c>
      <c r="K61" s="4"/>
      <c r="L61" s="4"/>
      <c r="M61" s="4"/>
      <c r="N61" s="4"/>
      <c r="O61" s="4"/>
      <c r="P61" s="33" t="s">
        <v>70</v>
      </c>
      <c r="Q61" s="25">
        <v>204</v>
      </c>
      <c r="R61" s="25">
        <v>4</v>
      </c>
      <c r="S61" s="12">
        <f t="shared" si="13"/>
        <v>816</v>
      </c>
      <c r="T61" s="5">
        <v>0.25</v>
      </c>
      <c r="U61" s="12">
        <f t="shared" si="14"/>
        <v>612</v>
      </c>
      <c r="V61" s="25" t="s">
        <v>10</v>
      </c>
      <c r="W61" s="11">
        <f>IFERROR(VLOOKUP(V61,Curr!$B$2:$C$13,2,FALSE),0)</f>
        <v>10.8</v>
      </c>
      <c r="X61" s="12">
        <f t="shared" si="15"/>
        <v>6609.6</v>
      </c>
      <c r="Y61" s="26">
        <f t="shared" si="21"/>
        <v>204</v>
      </c>
      <c r="Z61" s="12">
        <f t="shared" si="8"/>
        <v>816</v>
      </c>
      <c r="AA61" s="4" t="s">
        <v>10</v>
      </c>
      <c r="AB61" s="11">
        <f>IFERROR(VLOOKUP(AA61,Curr!$B$2:$C$13,2,FALSE),0)</f>
        <v>10.8</v>
      </c>
      <c r="AC61" s="12">
        <f t="shared" si="9"/>
        <v>8812.8000000000011</v>
      </c>
      <c r="AD61" s="12">
        <f t="shared" si="10"/>
        <v>2203.2000000000007</v>
      </c>
      <c r="AE61" s="13">
        <f t="shared" si="11"/>
        <v>0.25000000000000006</v>
      </c>
    </row>
    <row r="62" spans="2:31" x14ac:dyDescent="0.25">
      <c r="B62" s="4"/>
      <c r="E62" s="3"/>
      <c r="F62" s="3"/>
      <c r="G62" s="24"/>
      <c r="H62" s="24"/>
      <c r="K62" s="4"/>
      <c r="L62" s="4"/>
      <c r="M62" s="4"/>
      <c r="N62" s="4"/>
      <c r="O62" s="4"/>
      <c r="P62" s="33"/>
      <c r="Q62" s="25"/>
      <c r="R62" s="25"/>
      <c r="S62" s="12">
        <f t="shared" si="13"/>
        <v>0</v>
      </c>
      <c r="T62" s="5">
        <v>0</v>
      </c>
      <c r="U62" s="12">
        <f t="shared" si="14"/>
        <v>0</v>
      </c>
      <c r="V62" s="25" t="s">
        <v>10</v>
      </c>
      <c r="W62" s="11">
        <f>IFERROR(VLOOKUP(V62,Curr!$B$2:$C$13,2,FALSE),0)</f>
        <v>10.8</v>
      </c>
      <c r="X62" s="12">
        <f t="shared" si="15"/>
        <v>0</v>
      </c>
      <c r="Y62" s="26">
        <f t="shared" si="21"/>
        <v>0</v>
      </c>
      <c r="Z62" s="12">
        <f t="shared" si="8"/>
        <v>0</v>
      </c>
      <c r="AA62" s="4" t="s">
        <v>10</v>
      </c>
      <c r="AB62" s="11">
        <f>IFERROR(VLOOKUP(AA62,Curr!$B$2:$C$13,2,FALSE),0)</f>
        <v>10.8</v>
      </c>
      <c r="AC62" s="12">
        <f t="shared" si="9"/>
        <v>0</v>
      </c>
      <c r="AD62" s="12">
        <f t="shared" si="10"/>
        <v>0</v>
      </c>
      <c r="AE62" s="13">
        <f t="shared" si="11"/>
        <v>0</v>
      </c>
    </row>
    <row r="63" spans="2:31" x14ac:dyDescent="0.25">
      <c r="B63" s="4"/>
      <c r="E63" s="3"/>
      <c r="F63" s="3"/>
      <c r="G63" s="24"/>
      <c r="H63" s="24"/>
      <c r="J63" s="1" t="s">
        <v>223</v>
      </c>
      <c r="K63" s="4"/>
      <c r="L63" s="4"/>
      <c r="M63" s="4"/>
      <c r="N63" s="4"/>
      <c r="O63" s="4"/>
      <c r="P63" s="33"/>
      <c r="Q63" s="25">
        <v>0</v>
      </c>
      <c r="R63" s="25">
        <v>0</v>
      </c>
      <c r="S63" s="12">
        <f t="shared" si="13"/>
        <v>0</v>
      </c>
      <c r="T63" s="5">
        <v>0</v>
      </c>
      <c r="U63" s="12">
        <f t="shared" si="14"/>
        <v>0</v>
      </c>
      <c r="V63" s="25" t="s">
        <v>10</v>
      </c>
      <c r="W63" s="11">
        <f>IFERROR(VLOOKUP(V63,Curr!$B$2:$C$13,2,FALSE),0)</f>
        <v>10.8</v>
      </c>
      <c r="X63" s="12">
        <f t="shared" si="15"/>
        <v>0</v>
      </c>
      <c r="Y63" s="26">
        <f t="shared" si="21"/>
        <v>0</v>
      </c>
      <c r="Z63" s="12">
        <f t="shared" si="8"/>
        <v>0</v>
      </c>
      <c r="AA63" s="4" t="s">
        <v>10</v>
      </c>
      <c r="AB63" s="11">
        <f>IFERROR(VLOOKUP(AA63,Curr!$B$2:$C$13,2,FALSE),0)</f>
        <v>10.8</v>
      </c>
      <c r="AC63" s="12">
        <f t="shared" si="9"/>
        <v>0</v>
      </c>
      <c r="AD63" s="12">
        <f t="shared" si="10"/>
        <v>0</v>
      </c>
      <c r="AE63" s="13">
        <f t="shared" si="11"/>
        <v>0</v>
      </c>
    </row>
    <row r="64" spans="2:31" x14ac:dyDescent="0.25">
      <c r="B64" s="4"/>
      <c r="E64" s="3"/>
      <c r="F64" s="3"/>
      <c r="G64" s="24"/>
      <c r="H64" s="24"/>
      <c r="J64" s="1" t="s">
        <v>214</v>
      </c>
      <c r="K64" s="4"/>
      <c r="L64" s="4"/>
      <c r="M64" s="4"/>
      <c r="N64" s="4"/>
      <c r="O64" s="4"/>
      <c r="P64" s="33" t="s">
        <v>224</v>
      </c>
      <c r="Q64" s="25">
        <v>1091</v>
      </c>
      <c r="R64" s="25">
        <v>1</v>
      </c>
      <c r="S64" s="12">
        <f t="shared" si="13"/>
        <v>1091</v>
      </c>
      <c r="T64" s="5">
        <v>0</v>
      </c>
      <c r="U64" s="12">
        <f t="shared" si="14"/>
        <v>1091</v>
      </c>
      <c r="V64" s="25" t="s">
        <v>10</v>
      </c>
      <c r="W64" s="11">
        <f>IFERROR(VLOOKUP(V64,Curr!$B$2:$C$13,2,FALSE),0)</f>
        <v>10.8</v>
      </c>
      <c r="X64" s="12">
        <f t="shared" si="15"/>
        <v>11782.800000000001</v>
      </c>
      <c r="Y64" s="26">
        <f>Q64/0.8</f>
        <v>1363.75</v>
      </c>
      <c r="Z64" s="12">
        <f t="shared" si="8"/>
        <v>1363.75</v>
      </c>
      <c r="AA64" s="4" t="s">
        <v>10</v>
      </c>
      <c r="AB64" s="11">
        <f>IFERROR(VLOOKUP(AA64,Curr!$B$2:$C$13,2,FALSE),0)</f>
        <v>10.8</v>
      </c>
      <c r="AC64" s="12">
        <f t="shared" si="9"/>
        <v>14728.500000000002</v>
      </c>
      <c r="AD64" s="12">
        <f t="shared" si="10"/>
        <v>2945.7000000000007</v>
      </c>
      <c r="AE64" s="13">
        <f t="shared" si="11"/>
        <v>0.2</v>
      </c>
    </row>
    <row r="65" spans="2:31" x14ac:dyDescent="0.25">
      <c r="B65" s="4"/>
      <c r="E65" s="3"/>
      <c r="F65" s="3"/>
      <c r="G65" s="24"/>
      <c r="H65" s="24"/>
      <c r="J65" s="1" t="s">
        <v>53</v>
      </c>
      <c r="K65" s="4"/>
      <c r="L65" s="4"/>
      <c r="M65" s="4"/>
      <c r="N65" s="4"/>
      <c r="O65" s="4"/>
      <c r="P65" s="33"/>
      <c r="Q65" s="25">
        <v>0</v>
      </c>
      <c r="R65" s="25">
        <v>0</v>
      </c>
      <c r="S65" s="12">
        <f t="shared" si="13"/>
        <v>0</v>
      </c>
      <c r="T65" s="5">
        <v>0</v>
      </c>
      <c r="U65" s="12">
        <f t="shared" si="14"/>
        <v>0</v>
      </c>
      <c r="V65" s="25" t="s">
        <v>10</v>
      </c>
      <c r="W65" s="11">
        <f>IFERROR(VLOOKUP(V65,Curr!$B$2:$C$13,2,FALSE),0)</f>
        <v>10.8</v>
      </c>
      <c r="X65" s="12">
        <f t="shared" si="15"/>
        <v>0</v>
      </c>
      <c r="Y65" s="26">
        <f t="shared" ref="Y65:Y66" si="22">Q65</f>
        <v>0</v>
      </c>
      <c r="Z65" s="12">
        <f t="shared" si="8"/>
        <v>0</v>
      </c>
      <c r="AA65" s="4" t="s">
        <v>10</v>
      </c>
      <c r="AB65" s="11">
        <f>IFERROR(VLOOKUP(AA65,Curr!$B$2:$C$13,2,FALSE),0)</f>
        <v>10.8</v>
      </c>
      <c r="AC65" s="12">
        <f t="shared" si="9"/>
        <v>0</v>
      </c>
      <c r="AD65" s="12">
        <f t="shared" si="10"/>
        <v>0</v>
      </c>
      <c r="AE65" s="13">
        <f t="shared" si="11"/>
        <v>0</v>
      </c>
    </row>
    <row r="66" spans="2:31" x14ac:dyDescent="0.25">
      <c r="B66" s="4"/>
      <c r="E66" s="3"/>
      <c r="F66" s="3"/>
      <c r="G66" s="24"/>
      <c r="H66" s="24"/>
      <c r="J66" s="1" t="s">
        <v>188</v>
      </c>
      <c r="K66" s="4"/>
      <c r="L66" s="4"/>
      <c r="M66" s="4"/>
      <c r="N66" s="4"/>
      <c r="O66" s="4"/>
      <c r="P66" s="33" t="s">
        <v>148</v>
      </c>
      <c r="Q66" s="25">
        <v>167</v>
      </c>
      <c r="R66" s="25">
        <v>4</v>
      </c>
      <c r="S66" s="12">
        <f t="shared" si="13"/>
        <v>668</v>
      </c>
      <c r="T66" s="5">
        <v>0.2</v>
      </c>
      <c r="U66" s="12">
        <f t="shared" si="14"/>
        <v>534.4</v>
      </c>
      <c r="V66" s="25" t="s">
        <v>10</v>
      </c>
      <c r="W66" s="11">
        <f>IFERROR(VLOOKUP(V66,Curr!$B$2:$C$13,2,FALSE),0)</f>
        <v>10.8</v>
      </c>
      <c r="X66" s="12">
        <f t="shared" si="15"/>
        <v>5771.52</v>
      </c>
      <c r="Y66" s="26">
        <f t="shared" si="22"/>
        <v>167</v>
      </c>
      <c r="Z66" s="12">
        <f t="shared" si="8"/>
        <v>668</v>
      </c>
      <c r="AA66" s="4" t="s">
        <v>10</v>
      </c>
      <c r="AB66" s="11">
        <f>IFERROR(VLOOKUP(AA66,Curr!$B$2:$C$13,2,FALSE),0)</f>
        <v>10.8</v>
      </c>
      <c r="AC66" s="12">
        <f t="shared" si="9"/>
        <v>7214.4000000000005</v>
      </c>
      <c r="AD66" s="12">
        <f t="shared" si="10"/>
        <v>1442.88</v>
      </c>
      <c r="AE66" s="13">
        <f t="shared" si="11"/>
        <v>0.2</v>
      </c>
    </row>
    <row r="67" spans="2:31" x14ac:dyDescent="0.25">
      <c r="B67" s="4"/>
      <c r="E67" s="3"/>
      <c r="F67" s="3"/>
      <c r="G67" s="24"/>
      <c r="H67" s="24"/>
      <c r="K67" s="4"/>
      <c r="L67" s="4"/>
      <c r="M67" s="4"/>
      <c r="N67" s="4"/>
      <c r="O67" s="4"/>
      <c r="P67" s="33"/>
      <c r="Q67" s="25"/>
      <c r="R67" s="25"/>
      <c r="S67" s="12">
        <f t="shared" si="13"/>
        <v>0</v>
      </c>
      <c r="T67" s="5">
        <v>0</v>
      </c>
      <c r="U67" s="12">
        <f t="shared" si="14"/>
        <v>0</v>
      </c>
      <c r="V67" s="25" t="s">
        <v>10</v>
      </c>
      <c r="W67" s="11">
        <f>IFERROR(VLOOKUP(V67,Curr!$B$2:$C$13,2,FALSE),0)</f>
        <v>10.8</v>
      </c>
      <c r="X67" s="12">
        <f t="shared" si="15"/>
        <v>0</v>
      </c>
      <c r="Y67" s="26">
        <f t="shared" si="21"/>
        <v>0</v>
      </c>
      <c r="Z67" s="12">
        <f t="shared" si="8"/>
        <v>0</v>
      </c>
      <c r="AA67" s="4" t="s">
        <v>10</v>
      </c>
      <c r="AB67" s="11">
        <f>IFERROR(VLOOKUP(AA67,Curr!$B$2:$C$13,2,FALSE),0)</f>
        <v>10.8</v>
      </c>
      <c r="AC67" s="12">
        <f t="shared" si="9"/>
        <v>0</v>
      </c>
      <c r="AD67" s="12">
        <f t="shared" si="10"/>
        <v>0</v>
      </c>
      <c r="AE67" s="13">
        <f t="shared" si="11"/>
        <v>0</v>
      </c>
    </row>
    <row r="68" spans="2:31" x14ac:dyDescent="0.25">
      <c r="B68" s="4"/>
      <c r="E68" s="3"/>
      <c r="F68" s="3"/>
      <c r="G68" s="24"/>
      <c r="H68" s="24"/>
      <c r="J68" s="1" t="s">
        <v>96</v>
      </c>
      <c r="K68" s="4"/>
      <c r="L68" s="4"/>
      <c r="M68" s="4"/>
      <c r="N68" s="4"/>
      <c r="O68" s="4"/>
      <c r="P68" s="33"/>
      <c r="Q68" s="25">
        <v>0</v>
      </c>
      <c r="R68" s="25">
        <v>0</v>
      </c>
      <c r="S68" s="12">
        <f t="shared" si="13"/>
        <v>0</v>
      </c>
      <c r="T68" s="5">
        <v>0</v>
      </c>
      <c r="U68" s="12">
        <f t="shared" si="14"/>
        <v>0</v>
      </c>
      <c r="V68" s="25" t="s">
        <v>10</v>
      </c>
      <c r="W68" s="11">
        <f>IFERROR(VLOOKUP(V68,Curr!$B$2:$C$13,2,FALSE),0)</f>
        <v>10.8</v>
      </c>
      <c r="X68" s="12">
        <f t="shared" si="15"/>
        <v>0</v>
      </c>
      <c r="Y68" s="26">
        <f t="shared" si="21"/>
        <v>0</v>
      </c>
      <c r="Z68" s="12">
        <f t="shared" si="8"/>
        <v>0</v>
      </c>
      <c r="AA68" s="4" t="s">
        <v>10</v>
      </c>
      <c r="AB68" s="11">
        <f>IFERROR(VLOOKUP(AA68,Curr!$B$2:$C$13,2,FALSE),0)</f>
        <v>10.8</v>
      </c>
      <c r="AC68" s="12">
        <f t="shared" si="9"/>
        <v>0</v>
      </c>
      <c r="AD68" s="12">
        <f t="shared" si="10"/>
        <v>0</v>
      </c>
      <c r="AE68" s="13">
        <f t="shared" si="11"/>
        <v>0</v>
      </c>
    </row>
    <row r="69" spans="2:31" x14ac:dyDescent="0.25">
      <c r="B69" s="4"/>
      <c r="E69" s="3"/>
      <c r="F69" s="3"/>
      <c r="G69" s="24"/>
      <c r="H69" s="24"/>
      <c r="K69" s="4"/>
      <c r="L69" s="4"/>
      <c r="M69" s="4"/>
      <c r="N69" s="4"/>
      <c r="O69" s="4"/>
      <c r="P69" s="33"/>
      <c r="Q69" s="25">
        <v>0</v>
      </c>
      <c r="R69" s="25">
        <v>0</v>
      </c>
      <c r="S69" s="12">
        <f t="shared" si="13"/>
        <v>0</v>
      </c>
      <c r="T69" s="5">
        <v>0</v>
      </c>
      <c r="U69" s="12">
        <f t="shared" si="14"/>
        <v>0</v>
      </c>
      <c r="V69" s="25" t="s">
        <v>10</v>
      </c>
      <c r="W69" s="11">
        <f>IFERROR(VLOOKUP(V69,Curr!$B$2:$C$13,2,FALSE),0)</f>
        <v>10.8</v>
      </c>
      <c r="X69" s="12">
        <f t="shared" si="15"/>
        <v>0</v>
      </c>
      <c r="Y69" s="26">
        <f t="shared" si="16"/>
        <v>0</v>
      </c>
      <c r="Z69" s="12">
        <f t="shared" si="8"/>
        <v>0</v>
      </c>
      <c r="AA69" s="4" t="s">
        <v>10</v>
      </c>
      <c r="AB69" s="11">
        <f>IFERROR(VLOOKUP(AA69,Curr!$B$2:$C$13,2,FALSE),0)</f>
        <v>10.8</v>
      </c>
      <c r="AC69" s="12">
        <f t="shared" si="9"/>
        <v>0</v>
      </c>
      <c r="AD69" s="12">
        <f t="shared" si="10"/>
        <v>0</v>
      </c>
      <c r="AE69" s="13">
        <f t="shared" si="11"/>
        <v>0</v>
      </c>
    </row>
    <row r="70" spans="2:31" x14ac:dyDescent="0.25">
      <c r="B70" s="4"/>
      <c r="E70" s="3"/>
      <c r="F70" s="3"/>
      <c r="G70" s="24"/>
      <c r="H70" s="24"/>
      <c r="K70" s="4"/>
      <c r="L70" s="4"/>
      <c r="M70" s="4"/>
      <c r="N70" s="4"/>
      <c r="O70" s="4"/>
      <c r="P70" s="29"/>
      <c r="Q70" s="25">
        <v>0</v>
      </c>
      <c r="R70" s="25">
        <v>0</v>
      </c>
      <c r="S70" s="12">
        <f t="shared" si="13"/>
        <v>0</v>
      </c>
      <c r="T70" s="5">
        <v>0</v>
      </c>
      <c r="U70" s="12">
        <f t="shared" si="14"/>
        <v>0</v>
      </c>
      <c r="V70" s="25" t="s">
        <v>10</v>
      </c>
      <c r="W70" s="11">
        <f>IFERROR(VLOOKUP(V70,Curr!$B$2:$C$13,2,FALSE),0)</f>
        <v>10.8</v>
      </c>
      <c r="X70" s="12">
        <f t="shared" si="15"/>
        <v>0</v>
      </c>
      <c r="Y70" s="26">
        <f t="shared" si="16"/>
        <v>0</v>
      </c>
      <c r="Z70" s="12">
        <f t="shared" si="8"/>
        <v>0</v>
      </c>
      <c r="AA70" s="4" t="s">
        <v>10</v>
      </c>
      <c r="AB70" s="11">
        <f>IFERROR(VLOOKUP(AA70,Curr!$B$2:$C$13,2,FALSE),0)</f>
        <v>10.8</v>
      </c>
      <c r="AC70" s="12">
        <f t="shared" si="9"/>
        <v>0</v>
      </c>
      <c r="AD70" s="12">
        <f t="shared" si="10"/>
        <v>0</v>
      </c>
      <c r="AE70" s="13">
        <f t="shared" si="11"/>
        <v>0</v>
      </c>
    </row>
    <row r="71" spans="2:31" x14ac:dyDescent="0.25">
      <c r="B71" s="4"/>
      <c r="E71" s="3"/>
      <c r="F71" s="3"/>
      <c r="G71" s="24"/>
      <c r="H71" s="24"/>
      <c r="K71" s="4"/>
      <c r="L71" s="4"/>
      <c r="M71" s="4"/>
      <c r="N71" s="4"/>
      <c r="O71" s="4"/>
      <c r="P71" s="33"/>
      <c r="Q71" s="25">
        <v>0</v>
      </c>
      <c r="R71" s="25">
        <v>0</v>
      </c>
      <c r="S71" s="12">
        <f t="shared" si="13"/>
        <v>0</v>
      </c>
      <c r="T71" s="5">
        <v>0</v>
      </c>
      <c r="U71" s="12">
        <f t="shared" si="14"/>
        <v>0</v>
      </c>
      <c r="V71" s="25" t="s">
        <v>10</v>
      </c>
      <c r="W71" s="11">
        <f>IFERROR(VLOOKUP(V71,Curr!$B$2:$C$13,2,FALSE),0)</f>
        <v>10.8</v>
      </c>
      <c r="X71" s="12">
        <f t="shared" si="15"/>
        <v>0</v>
      </c>
      <c r="Y71" s="26">
        <f t="shared" si="16"/>
        <v>0</v>
      </c>
      <c r="Z71" s="12">
        <f t="shared" si="8"/>
        <v>0</v>
      </c>
      <c r="AA71" s="4" t="s">
        <v>10</v>
      </c>
      <c r="AB71" s="11">
        <f>IFERROR(VLOOKUP(AA71,Curr!$B$2:$C$13,2,FALSE),0)</f>
        <v>10.8</v>
      </c>
      <c r="AC71" s="12">
        <f t="shared" si="9"/>
        <v>0</v>
      </c>
      <c r="AD71" s="12">
        <f t="shared" si="10"/>
        <v>0</v>
      </c>
      <c r="AE71" s="13">
        <f t="shared" si="11"/>
        <v>0</v>
      </c>
    </row>
    <row r="72" spans="2:31" x14ac:dyDescent="0.25">
      <c r="B72" s="4"/>
      <c r="E72" s="3"/>
      <c r="F72" s="3"/>
      <c r="G72" s="24"/>
      <c r="H72" s="24"/>
      <c r="K72" s="4"/>
      <c r="L72" s="4"/>
      <c r="M72" s="4"/>
      <c r="N72" s="4"/>
      <c r="O72" s="4"/>
      <c r="P72" s="33"/>
      <c r="Q72" s="25">
        <v>0</v>
      </c>
      <c r="R72" s="25">
        <v>0</v>
      </c>
      <c r="S72" s="12">
        <f t="shared" ref="S72:S83" si="23">+Q72*R72</f>
        <v>0</v>
      </c>
      <c r="T72" s="5">
        <v>0</v>
      </c>
      <c r="U72" s="12">
        <f t="shared" ref="U72:U83" si="24">S72*(1-T72)</f>
        <v>0</v>
      </c>
      <c r="V72" s="25" t="s">
        <v>10</v>
      </c>
      <c r="W72" s="11">
        <f>IFERROR(VLOOKUP(V72,Curr!$B$2:$C$13,2,FALSE),0)</f>
        <v>10.8</v>
      </c>
      <c r="X72" s="12">
        <f t="shared" ref="X72:X83" si="25">U72*W72</f>
        <v>0</v>
      </c>
      <c r="Y72" s="26">
        <f t="shared" ref="Y72:Y83" si="26">Q72</f>
        <v>0</v>
      </c>
      <c r="Z72" s="12">
        <f t="shared" ref="Z72:Z83" si="27">+Y72*R72</f>
        <v>0</v>
      </c>
      <c r="AA72" s="4" t="s">
        <v>10</v>
      </c>
      <c r="AB72" s="11">
        <f>IFERROR(VLOOKUP(AA72,Curr!$B$2:$C$13,2,FALSE),0)</f>
        <v>10.8</v>
      </c>
      <c r="AC72" s="12">
        <f t="shared" ref="AC72:AC83" si="28">+Y72*AB72*R72</f>
        <v>0</v>
      </c>
      <c r="AD72" s="12">
        <f t="shared" ref="AD72:AD83" si="29">+AC72-X72</f>
        <v>0</v>
      </c>
      <c r="AE72" s="13">
        <f t="shared" ref="AE72:AE83" si="30">IFERROR(AD72/AC72,0)</f>
        <v>0</v>
      </c>
    </row>
    <row r="73" spans="2:31" x14ac:dyDescent="0.25">
      <c r="B73" s="4"/>
      <c r="E73" s="3"/>
      <c r="F73" s="3"/>
      <c r="G73" s="24"/>
      <c r="H73" s="24"/>
      <c r="K73" s="4"/>
      <c r="L73" s="4"/>
      <c r="M73" s="4"/>
      <c r="N73" s="4"/>
      <c r="O73" s="4"/>
      <c r="P73" s="33"/>
      <c r="Q73" s="25">
        <v>0</v>
      </c>
      <c r="R73" s="25">
        <v>0</v>
      </c>
      <c r="S73" s="12">
        <f t="shared" si="23"/>
        <v>0</v>
      </c>
      <c r="T73" s="5">
        <v>0</v>
      </c>
      <c r="U73" s="12">
        <f t="shared" si="24"/>
        <v>0</v>
      </c>
      <c r="V73" s="25" t="s">
        <v>10</v>
      </c>
      <c r="W73" s="11">
        <f>IFERROR(VLOOKUP(V73,Curr!$B$2:$C$13,2,FALSE),0)</f>
        <v>10.8</v>
      </c>
      <c r="X73" s="12">
        <f t="shared" si="25"/>
        <v>0</v>
      </c>
      <c r="Y73" s="26">
        <f t="shared" si="26"/>
        <v>0</v>
      </c>
      <c r="Z73" s="12">
        <f t="shared" si="27"/>
        <v>0</v>
      </c>
      <c r="AA73" s="4" t="s">
        <v>10</v>
      </c>
      <c r="AB73" s="11">
        <f>IFERROR(VLOOKUP(AA73,Curr!$B$2:$C$13,2,FALSE),0)</f>
        <v>10.8</v>
      </c>
      <c r="AC73" s="12">
        <f t="shared" si="28"/>
        <v>0</v>
      </c>
      <c r="AD73" s="12">
        <f t="shared" si="29"/>
        <v>0</v>
      </c>
      <c r="AE73" s="13">
        <f t="shared" si="30"/>
        <v>0</v>
      </c>
    </row>
    <row r="74" spans="2:31" x14ac:dyDescent="0.25">
      <c r="B74" s="4"/>
      <c r="E74" s="3"/>
      <c r="F74" s="3"/>
      <c r="G74" s="24"/>
      <c r="H74" s="24"/>
      <c r="K74" s="4"/>
      <c r="L74" s="4"/>
      <c r="M74" s="4"/>
      <c r="N74" s="4"/>
      <c r="O74" s="4"/>
      <c r="P74" s="27"/>
      <c r="Q74" s="25">
        <v>0</v>
      </c>
      <c r="R74" s="25">
        <v>0</v>
      </c>
      <c r="S74" s="12">
        <f t="shared" si="23"/>
        <v>0</v>
      </c>
      <c r="T74" s="5">
        <v>0</v>
      </c>
      <c r="U74" s="12">
        <f t="shared" si="24"/>
        <v>0</v>
      </c>
      <c r="V74" s="25" t="s">
        <v>10</v>
      </c>
      <c r="W74" s="11">
        <f>IFERROR(VLOOKUP(V74,Curr!$B$2:$C$13,2,FALSE),0)</f>
        <v>10.8</v>
      </c>
      <c r="X74" s="12">
        <f t="shared" si="25"/>
        <v>0</v>
      </c>
      <c r="Y74" s="26">
        <f t="shared" si="26"/>
        <v>0</v>
      </c>
      <c r="Z74" s="12">
        <f t="shared" si="27"/>
        <v>0</v>
      </c>
      <c r="AA74" s="4" t="s">
        <v>10</v>
      </c>
      <c r="AB74" s="11">
        <f>IFERROR(VLOOKUP(AA74,Curr!$B$2:$C$13,2,FALSE),0)</f>
        <v>10.8</v>
      </c>
      <c r="AC74" s="12">
        <f t="shared" si="28"/>
        <v>0</v>
      </c>
      <c r="AD74" s="12">
        <f t="shared" si="29"/>
        <v>0</v>
      </c>
      <c r="AE74" s="13">
        <f t="shared" si="30"/>
        <v>0</v>
      </c>
    </row>
    <row r="75" spans="2:31" x14ac:dyDescent="0.25">
      <c r="B75" s="4"/>
      <c r="E75" s="3"/>
      <c r="F75" s="3"/>
      <c r="G75" s="24"/>
      <c r="H75" s="24"/>
      <c r="K75" s="4"/>
      <c r="L75" s="4"/>
      <c r="M75" s="4"/>
      <c r="N75" s="4"/>
      <c r="O75" s="4"/>
      <c r="P75" s="27"/>
      <c r="Q75" s="25">
        <v>0</v>
      </c>
      <c r="R75" s="25">
        <v>0</v>
      </c>
      <c r="S75" s="12">
        <f t="shared" si="23"/>
        <v>0</v>
      </c>
      <c r="T75" s="5">
        <v>0</v>
      </c>
      <c r="U75" s="12">
        <f t="shared" si="24"/>
        <v>0</v>
      </c>
      <c r="V75" s="25" t="s">
        <v>10</v>
      </c>
      <c r="W75" s="11">
        <f>IFERROR(VLOOKUP(V75,Curr!$B$2:$C$13,2,FALSE),0)</f>
        <v>10.8</v>
      </c>
      <c r="X75" s="12">
        <f t="shared" si="25"/>
        <v>0</v>
      </c>
      <c r="Y75" s="26">
        <f t="shared" si="26"/>
        <v>0</v>
      </c>
      <c r="Z75" s="12">
        <f t="shared" si="27"/>
        <v>0</v>
      </c>
      <c r="AA75" s="4" t="s">
        <v>10</v>
      </c>
      <c r="AB75" s="11">
        <f>IFERROR(VLOOKUP(AA75,Curr!$B$2:$C$13,2,FALSE),0)</f>
        <v>10.8</v>
      </c>
      <c r="AC75" s="12">
        <f t="shared" si="28"/>
        <v>0</v>
      </c>
      <c r="AD75" s="12">
        <f t="shared" si="29"/>
        <v>0</v>
      </c>
      <c r="AE75" s="13">
        <f t="shared" si="30"/>
        <v>0</v>
      </c>
    </row>
    <row r="76" spans="2:31" x14ac:dyDescent="0.25">
      <c r="B76" s="4"/>
      <c r="E76" s="3"/>
      <c r="F76" s="3"/>
      <c r="G76" s="24"/>
      <c r="H76" s="24"/>
      <c r="K76" s="4"/>
      <c r="L76" s="4"/>
      <c r="M76" s="4"/>
      <c r="N76" s="4"/>
      <c r="O76" s="4"/>
      <c r="P76" s="27"/>
      <c r="Q76" s="25">
        <v>0</v>
      </c>
      <c r="R76" s="25">
        <v>0</v>
      </c>
      <c r="S76" s="12">
        <f t="shared" si="23"/>
        <v>0</v>
      </c>
      <c r="T76" s="5">
        <v>0</v>
      </c>
      <c r="U76" s="12">
        <f t="shared" si="24"/>
        <v>0</v>
      </c>
      <c r="V76" s="25" t="s">
        <v>10</v>
      </c>
      <c r="W76" s="11">
        <f>IFERROR(VLOOKUP(V76,Curr!$B$2:$C$13,2,FALSE),0)</f>
        <v>10.8</v>
      </c>
      <c r="X76" s="12">
        <f t="shared" si="25"/>
        <v>0</v>
      </c>
      <c r="Y76" s="26">
        <f t="shared" si="26"/>
        <v>0</v>
      </c>
      <c r="Z76" s="12">
        <f t="shared" si="27"/>
        <v>0</v>
      </c>
      <c r="AA76" s="4" t="s">
        <v>10</v>
      </c>
      <c r="AB76" s="11">
        <f>IFERROR(VLOOKUP(AA76,Curr!$B$2:$C$13,2,FALSE),0)</f>
        <v>10.8</v>
      </c>
      <c r="AC76" s="12">
        <f t="shared" si="28"/>
        <v>0</v>
      </c>
      <c r="AD76" s="12">
        <f t="shared" si="29"/>
        <v>0</v>
      </c>
      <c r="AE76" s="13">
        <f t="shared" si="30"/>
        <v>0</v>
      </c>
    </row>
    <row r="77" spans="2:31" x14ac:dyDescent="0.25">
      <c r="B77" s="4"/>
      <c r="E77" s="3"/>
      <c r="F77" s="3"/>
      <c r="G77" s="24"/>
      <c r="H77" s="24"/>
      <c r="K77" s="4"/>
      <c r="L77" s="4"/>
      <c r="M77" s="4"/>
      <c r="N77" s="4"/>
      <c r="O77" s="4"/>
      <c r="P77" s="27"/>
      <c r="Q77" s="25">
        <v>0</v>
      </c>
      <c r="R77" s="25">
        <v>0</v>
      </c>
      <c r="S77" s="12">
        <f t="shared" si="23"/>
        <v>0</v>
      </c>
      <c r="T77" s="5">
        <v>0</v>
      </c>
      <c r="U77" s="12">
        <f t="shared" si="24"/>
        <v>0</v>
      </c>
      <c r="V77" s="25" t="s">
        <v>10</v>
      </c>
      <c r="W77" s="11">
        <f>IFERROR(VLOOKUP(V77,Curr!$B$2:$C$13,2,FALSE),0)</f>
        <v>10.8</v>
      </c>
      <c r="X77" s="12">
        <f t="shared" si="25"/>
        <v>0</v>
      </c>
      <c r="Y77" s="26">
        <f t="shared" si="26"/>
        <v>0</v>
      </c>
      <c r="Z77" s="12">
        <f t="shared" si="27"/>
        <v>0</v>
      </c>
      <c r="AA77" s="4" t="s">
        <v>10</v>
      </c>
      <c r="AB77" s="11">
        <f>IFERROR(VLOOKUP(AA77,Curr!$B$2:$C$13,2,FALSE),0)</f>
        <v>10.8</v>
      </c>
      <c r="AC77" s="12">
        <f t="shared" si="28"/>
        <v>0</v>
      </c>
      <c r="AD77" s="12">
        <f t="shared" si="29"/>
        <v>0</v>
      </c>
      <c r="AE77" s="13">
        <f t="shared" si="30"/>
        <v>0</v>
      </c>
    </row>
    <row r="78" spans="2:31" x14ac:dyDescent="0.25">
      <c r="B78" s="4"/>
      <c r="E78" s="3"/>
      <c r="F78" s="3"/>
      <c r="G78" s="24"/>
      <c r="H78" s="24"/>
      <c r="K78" s="4"/>
      <c r="L78" s="4"/>
      <c r="M78" s="4"/>
      <c r="N78" s="4"/>
      <c r="O78" s="4"/>
      <c r="P78" s="27"/>
      <c r="Q78" s="25">
        <v>0</v>
      </c>
      <c r="R78" s="25">
        <v>0</v>
      </c>
      <c r="S78" s="12">
        <f t="shared" si="23"/>
        <v>0</v>
      </c>
      <c r="T78" s="5">
        <v>0</v>
      </c>
      <c r="U78" s="12">
        <f t="shared" si="24"/>
        <v>0</v>
      </c>
      <c r="V78" s="25" t="s">
        <v>10</v>
      </c>
      <c r="W78" s="11">
        <f>IFERROR(VLOOKUP(V78,Curr!$B$2:$C$13,2,FALSE),0)</f>
        <v>10.8</v>
      </c>
      <c r="X78" s="12">
        <f t="shared" si="25"/>
        <v>0</v>
      </c>
      <c r="Y78" s="26">
        <f t="shared" si="26"/>
        <v>0</v>
      </c>
      <c r="Z78" s="12">
        <f t="shared" si="27"/>
        <v>0</v>
      </c>
      <c r="AA78" s="4" t="s">
        <v>10</v>
      </c>
      <c r="AB78" s="11">
        <f>IFERROR(VLOOKUP(AA78,Curr!$B$2:$C$13,2,FALSE),0)</f>
        <v>10.8</v>
      </c>
      <c r="AC78" s="12">
        <f t="shared" si="28"/>
        <v>0</v>
      </c>
      <c r="AD78" s="12">
        <f t="shared" si="29"/>
        <v>0</v>
      </c>
      <c r="AE78" s="13">
        <f t="shared" si="30"/>
        <v>0</v>
      </c>
    </row>
    <row r="79" spans="2:31" x14ac:dyDescent="0.25">
      <c r="B79" s="4"/>
      <c r="E79" s="3"/>
      <c r="F79" s="3"/>
      <c r="G79" s="24"/>
      <c r="H79" s="24"/>
      <c r="K79" s="4"/>
      <c r="L79" s="4"/>
      <c r="M79" s="4"/>
      <c r="N79" s="4"/>
      <c r="O79" s="4"/>
      <c r="P79" s="27"/>
      <c r="Q79" s="25">
        <v>0</v>
      </c>
      <c r="R79" s="25">
        <v>0</v>
      </c>
      <c r="S79" s="12">
        <f t="shared" si="23"/>
        <v>0</v>
      </c>
      <c r="T79" s="5">
        <v>0</v>
      </c>
      <c r="U79" s="12">
        <f t="shared" si="24"/>
        <v>0</v>
      </c>
      <c r="V79" s="25" t="s">
        <v>10</v>
      </c>
      <c r="W79" s="11">
        <f>IFERROR(VLOOKUP(V79,Curr!$B$2:$C$13,2,FALSE),0)</f>
        <v>10.8</v>
      </c>
      <c r="X79" s="12">
        <f t="shared" si="25"/>
        <v>0</v>
      </c>
      <c r="Y79" s="26">
        <f t="shared" si="26"/>
        <v>0</v>
      </c>
      <c r="Z79" s="12">
        <f t="shared" si="27"/>
        <v>0</v>
      </c>
      <c r="AA79" s="4" t="s">
        <v>10</v>
      </c>
      <c r="AB79" s="11">
        <f>IFERROR(VLOOKUP(AA79,Curr!$B$2:$C$13,2,FALSE),0)</f>
        <v>10.8</v>
      </c>
      <c r="AC79" s="12">
        <f t="shared" si="28"/>
        <v>0</v>
      </c>
      <c r="AD79" s="12">
        <f t="shared" si="29"/>
        <v>0</v>
      </c>
      <c r="AE79" s="13">
        <f t="shared" si="30"/>
        <v>0</v>
      </c>
    </row>
    <row r="80" spans="2:31" x14ac:dyDescent="0.25">
      <c r="B80" s="4"/>
      <c r="E80" s="3"/>
      <c r="F80" s="3"/>
      <c r="G80" s="24"/>
      <c r="H80" s="24"/>
      <c r="K80" s="4"/>
      <c r="L80" s="4"/>
      <c r="M80" s="4"/>
      <c r="N80" s="4"/>
      <c r="O80" s="4"/>
      <c r="P80" s="27"/>
      <c r="Q80" s="25">
        <v>0</v>
      </c>
      <c r="R80" s="25">
        <v>0</v>
      </c>
      <c r="S80" s="12">
        <f t="shared" si="23"/>
        <v>0</v>
      </c>
      <c r="T80" s="5">
        <v>0</v>
      </c>
      <c r="U80" s="12">
        <f t="shared" si="24"/>
        <v>0</v>
      </c>
      <c r="V80" s="25" t="s">
        <v>10</v>
      </c>
      <c r="W80" s="11">
        <f>IFERROR(VLOOKUP(V80,Curr!$B$2:$C$13,2,FALSE),0)</f>
        <v>10.8</v>
      </c>
      <c r="X80" s="12">
        <f t="shared" si="25"/>
        <v>0</v>
      </c>
      <c r="Y80" s="26">
        <f t="shared" si="26"/>
        <v>0</v>
      </c>
      <c r="Z80" s="12">
        <f t="shared" si="27"/>
        <v>0</v>
      </c>
      <c r="AA80" s="4" t="s">
        <v>10</v>
      </c>
      <c r="AB80" s="11">
        <f>IFERROR(VLOOKUP(AA80,Curr!$B$2:$C$13,2,FALSE),0)</f>
        <v>10.8</v>
      </c>
      <c r="AC80" s="12">
        <f t="shared" si="28"/>
        <v>0</v>
      </c>
      <c r="AD80" s="12">
        <f t="shared" si="29"/>
        <v>0</v>
      </c>
      <c r="AE80" s="13">
        <f t="shared" si="30"/>
        <v>0</v>
      </c>
    </row>
    <row r="81" spans="2:36" x14ac:dyDescent="0.25">
      <c r="B81" s="4"/>
      <c r="E81" s="3"/>
      <c r="F81" s="3"/>
      <c r="G81" s="24"/>
      <c r="H81" s="24"/>
      <c r="K81" s="4"/>
      <c r="L81" s="4"/>
      <c r="M81" s="4"/>
      <c r="N81" s="4"/>
      <c r="O81" s="4"/>
      <c r="P81" s="33"/>
      <c r="Q81" s="25">
        <v>0</v>
      </c>
      <c r="R81" s="25">
        <v>0</v>
      </c>
      <c r="S81" s="12">
        <f t="shared" si="23"/>
        <v>0</v>
      </c>
      <c r="T81" s="5">
        <v>0</v>
      </c>
      <c r="U81" s="12">
        <f t="shared" si="24"/>
        <v>0</v>
      </c>
      <c r="V81" s="25" t="s">
        <v>10</v>
      </c>
      <c r="W81" s="11">
        <f>IFERROR(VLOOKUP(V81,Curr!$B$2:$C$13,2,FALSE),0)</f>
        <v>10.8</v>
      </c>
      <c r="X81" s="12">
        <f t="shared" si="25"/>
        <v>0</v>
      </c>
      <c r="Y81" s="26">
        <f t="shared" si="26"/>
        <v>0</v>
      </c>
      <c r="Z81" s="12">
        <f t="shared" si="27"/>
        <v>0</v>
      </c>
      <c r="AA81" s="4" t="s">
        <v>10</v>
      </c>
      <c r="AB81" s="11">
        <f>IFERROR(VLOOKUP(AA81,Curr!$B$2:$C$13,2,FALSE),0)</f>
        <v>10.8</v>
      </c>
      <c r="AC81" s="12">
        <f t="shared" si="28"/>
        <v>0</v>
      </c>
      <c r="AD81" s="12">
        <f t="shared" si="29"/>
        <v>0</v>
      </c>
      <c r="AE81" s="13">
        <f t="shared" si="30"/>
        <v>0</v>
      </c>
    </row>
    <row r="82" spans="2:36" x14ac:dyDescent="0.25">
      <c r="B82" s="4"/>
      <c r="E82" s="3"/>
      <c r="F82" s="3"/>
      <c r="G82" s="24"/>
      <c r="H82" s="24"/>
      <c r="K82" s="4"/>
      <c r="L82" s="4"/>
      <c r="M82" s="4"/>
      <c r="N82" s="4"/>
      <c r="O82" s="4"/>
      <c r="P82" s="27"/>
      <c r="Q82" s="25">
        <v>0</v>
      </c>
      <c r="R82" s="25">
        <v>0</v>
      </c>
      <c r="S82" s="12">
        <f t="shared" si="23"/>
        <v>0</v>
      </c>
      <c r="T82" s="5">
        <v>0</v>
      </c>
      <c r="U82" s="12">
        <f t="shared" si="24"/>
        <v>0</v>
      </c>
      <c r="V82" s="25" t="s">
        <v>10</v>
      </c>
      <c r="W82" s="11">
        <f>IFERROR(VLOOKUP(V82,Curr!$B$2:$C$13,2,FALSE),0)</f>
        <v>10.8</v>
      </c>
      <c r="X82" s="12">
        <f t="shared" si="25"/>
        <v>0</v>
      </c>
      <c r="Y82" s="26">
        <f t="shared" si="26"/>
        <v>0</v>
      </c>
      <c r="Z82" s="12">
        <f t="shared" si="27"/>
        <v>0</v>
      </c>
      <c r="AA82" s="4" t="s">
        <v>10</v>
      </c>
      <c r="AB82" s="11">
        <f>IFERROR(VLOOKUP(AA82,Curr!$B$2:$C$13,2,FALSE),0)</f>
        <v>10.8</v>
      </c>
      <c r="AC82" s="12">
        <f t="shared" si="28"/>
        <v>0</v>
      </c>
      <c r="AD82" s="12">
        <f t="shared" si="29"/>
        <v>0</v>
      </c>
      <c r="AE82" s="13">
        <f t="shared" si="30"/>
        <v>0</v>
      </c>
    </row>
    <row r="83" spans="2:36" x14ac:dyDescent="0.25">
      <c r="B83" s="4"/>
      <c r="E83" s="3"/>
      <c r="F83" s="3"/>
      <c r="G83" s="24"/>
      <c r="H83" s="24"/>
      <c r="K83" s="4"/>
      <c r="L83" s="4"/>
      <c r="M83" s="4"/>
      <c r="N83" s="4"/>
      <c r="O83" s="4"/>
      <c r="P83" s="33"/>
      <c r="Q83" s="25">
        <v>0</v>
      </c>
      <c r="R83" s="25">
        <v>0</v>
      </c>
      <c r="S83" s="12">
        <f t="shared" si="23"/>
        <v>0</v>
      </c>
      <c r="T83" s="5">
        <v>0</v>
      </c>
      <c r="U83" s="12">
        <f t="shared" si="24"/>
        <v>0</v>
      </c>
      <c r="V83" s="25" t="s">
        <v>10</v>
      </c>
      <c r="W83" s="11">
        <f>IFERROR(VLOOKUP(V83,Curr!$B$2:$C$13,2,FALSE),0)</f>
        <v>10.8</v>
      </c>
      <c r="X83" s="12">
        <f t="shared" si="25"/>
        <v>0</v>
      </c>
      <c r="Y83" s="26">
        <f t="shared" si="26"/>
        <v>0</v>
      </c>
      <c r="Z83" s="12">
        <f t="shared" si="27"/>
        <v>0</v>
      </c>
      <c r="AA83" s="4" t="s">
        <v>10</v>
      </c>
      <c r="AB83" s="11">
        <f>IFERROR(VLOOKUP(AA83,Curr!$B$2:$C$13,2,FALSE),0)</f>
        <v>10.8</v>
      </c>
      <c r="AC83" s="12">
        <f t="shared" si="28"/>
        <v>0</v>
      </c>
      <c r="AD83" s="12">
        <f t="shared" si="29"/>
        <v>0</v>
      </c>
      <c r="AE83" s="13">
        <f t="shared" si="30"/>
        <v>0</v>
      </c>
    </row>
    <row r="84" spans="2:36" x14ac:dyDescent="0.25">
      <c r="B84" s="4"/>
      <c r="E84" s="3"/>
      <c r="F84" s="3"/>
      <c r="G84" s="3"/>
      <c r="H84" s="3"/>
      <c r="L84" s="4"/>
      <c r="M84" s="4"/>
      <c r="N84" s="4"/>
      <c r="O84" s="4"/>
      <c r="P84" s="22"/>
      <c r="Q84" s="4"/>
      <c r="R84" s="4"/>
      <c r="S84" s="4"/>
      <c r="T84" s="4"/>
      <c r="U84" s="4"/>
      <c r="V84" s="4"/>
      <c r="W84" s="4"/>
      <c r="X84" s="4"/>
      <c r="Y84" s="4"/>
      <c r="Z84" s="4"/>
      <c r="AA84" s="4"/>
      <c r="AB84" s="4"/>
      <c r="AC84" s="4"/>
      <c r="AD84" s="4"/>
      <c r="AE84" s="4"/>
      <c r="AF84" s="4"/>
    </row>
    <row r="85" spans="2:36" x14ac:dyDescent="0.25">
      <c r="B85" s="14" t="s">
        <v>18</v>
      </c>
      <c r="C85" s="14"/>
      <c r="D85" s="28" t="s">
        <v>42</v>
      </c>
      <c r="E85" s="30" t="s">
        <v>42</v>
      </c>
      <c r="F85" s="30" t="s">
        <v>42</v>
      </c>
      <c r="G85" s="30" t="s">
        <v>42</v>
      </c>
      <c r="H85" s="30" t="s">
        <v>42</v>
      </c>
      <c r="I85" s="28" t="s">
        <v>42</v>
      </c>
      <c r="J85" s="28" t="s">
        <v>42</v>
      </c>
      <c r="K85" s="28" t="s">
        <v>42</v>
      </c>
      <c r="L85" s="28" t="s">
        <v>42</v>
      </c>
      <c r="M85" s="28" t="s">
        <v>42</v>
      </c>
      <c r="N85" s="28" t="s">
        <v>42</v>
      </c>
      <c r="O85" s="28" t="s">
        <v>42</v>
      </c>
      <c r="P85" s="28" t="s">
        <v>42</v>
      </c>
      <c r="Q85" s="31" t="s">
        <v>42</v>
      </c>
      <c r="R85" s="28" t="s">
        <v>42</v>
      </c>
      <c r="S85" s="32" t="s">
        <v>42</v>
      </c>
      <c r="T85" s="28" t="s">
        <v>42</v>
      </c>
      <c r="U85" s="32" t="s">
        <v>42</v>
      </c>
      <c r="V85" s="28" t="s">
        <v>42</v>
      </c>
      <c r="W85" s="28" t="s">
        <v>42</v>
      </c>
      <c r="X85" s="32" t="s">
        <v>42</v>
      </c>
      <c r="Y85" s="32" t="s">
        <v>42</v>
      </c>
      <c r="Z85" s="15">
        <f>SUM(Z7:Z83)</f>
        <v>28537.755347593582</v>
      </c>
      <c r="AA85" s="14"/>
      <c r="AB85" s="14"/>
      <c r="AC85" s="15">
        <f>SUM(AC7:AC83)</f>
        <v>308207.75775401073</v>
      </c>
      <c r="AD85" s="15">
        <f>SUM(AD7:AD83)</f>
        <v>57852.917754010683</v>
      </c>
      <c r="AE85" s="21">
        <f t="shared" ref="AE85" si="31">IFERROR(AD85/AC85,0)</f>
        <v>0.18770753265784024</v>
      </c>
      <c r="AF85" s="15">
        <f>SUM(AF8:AF84)</f>
        <v>0</v>
      </c>
      <c r="AG85" s="15">
        <f>SUM(AG8:AG84)</f>
        <v>0</v>
      </c>
      <c r="AH85" s="15">
        <f>SUM(AH8:AH84)</f>
        <v>0</v>
      </c>
      <c r="AI85" s="15">
        <f>SUM(AI8:AI84)</f>
        <v>0</v>
      </c>
      <c r="AJ85" s="15">
        <f>SUM(AJ8:AJ84)</f>
        <v>0</v>
      </c>
    </row>
    <row r="86" spans="2:36" x14ac:dyDescent="0.25">
      <c r="B86" s="4"/>
      <c r="E86" s="3"/>
      <c r="F86" s="3"/>
      <c r="G86" s="3"/>
      <c r="H86" s="3"/>
      <c r="L86" s="4"/>
      <c r="M86" s="4"/>
      <c r="N86" s="4"/>
      <c r="O86" s="4"/>
      <c r="Q86" s="4"/>
      <c r="R86" s="4"/>
      <c r="S86" s="4"/>
      <c r="T86" s="4"/>
      <c r="U86" s="4"/>
      <c r="V86" s="4"/>
      <c r="W86" s="4"/>
      <c r="X86" s="4"/>
      <c r="Y86" s="9"/>
      <c r="Z86" s="9"/>
      <c r="AA86" s="9"/>
      <c r="AB86" s="9"/>
      <c r="AC86" s="9"/>
      <c r="AD86" s="9"/>
      <c r="AE86" s="9"/>
    </row>
    <row r="87" spans="2:36" x14ac:dyDescent="0.25">
      <c r="B87" s="4"/>
      <c r="E87" s="3"/>
      <c r="F87" s="3"/>
      <c r="G87" s="3"/>
      <c r="H87" s="3"/>
      <c r="L87" s="4"/>
      <c r="M87" s="4"/>
      <c r="N87" s="4"/>
      <c r="O87" s="4"/>
      <c r="Q87" s="9"/>
      <c r="R87" s="9"/>
      <c r="S87" s="9"/>
      <c r="T87" s="9"/>
      <c r="U87" s="9"/>
      <c r="V87" s="9"/>
      <c r="W87" s="9"/>
      <c r="X87" s="23"/>
      <c r="Y87" s="34" t="s">
        <v>43</v>
      </c>
      <c r="Z87" s="34">
        <v>29800</v>
      </c>
      <c r="AA87" s="9"/>
      <c r="AB87" s="9"/>
      <c r="AC87" s="9"/>
      <c r="AD87" s="9"/>
      <c r="AE87" s="9"/>
    </row>
    <row r="88" spans="2:36" x14ac:dyDescent="0.25">
      <c r="B88" s="4"/>
      <c r="E88" s="3"/>
      <c r="F88" s="3"/>
      <c r="G88" s="3"/>
      <c r="H88" s="3"/>
      <c r="J88" s="1" t="s">
        <v>235</v>
      </c>
      <c r="L88" s="4"/>
      <c r="M88" s="4"/>
      <c r="N88" s="4"/>
      <c r="O88" s="4"/>
      <c r="P88" s="1">
        <v>4127</v>
      </c>
      <c r="Q88" s="36" t="s">
        <v>237</v>
      </c>
      <c r="R88" s="9" t="s">
        <v>32</v>
      </c>
      <c r="S88" s="9"/>
      <c r="T88" s="9"/>
      <c r="U88" s="9"/>
      <c r="V88" s="9"/>
      <c r="W88" s="9"/>
      <c r="X88" s="9"/>
      <c r="Y88" s="34" t="s">
        <v>44</v>
      </c>
      <c r="Z88" s="34">
        <f>Z87/4</f>
        <v>7450</v>
      </c>
      <c r="AA88" s="9"/>
      <c r="AB88" s="9"/>
      <c r="AC88" s="9"/>
      <c r="AD88" s="9"/>
      <c r="AE88" s="9"/>
      <c r="AF88" s="18"/>
    </row>
    <row r="89" spans="2:36" x14ac:dyDescent="0.25">
      <c r="B89" s="4"/>
      <c r="E89" s="3"/>
      <c r="F89" s="3"/>
      <c r="G89" s="3"/>
      <c r="H89" s="3"/>
      <c r="I89" s="19"/>
      <c r="J89" s="35" t="s">
        <v>236</v>
      </c>
      <c r="L89" s="4"/>
      <c r="M89" s="4"/>
      <c r="N89" s="4"/>
      <c r="O89" s="20"/>
      <c r="P89" s="1">
        <v>2470</v>
      </c>
      <c r="Q89" s="37" t="s">
        <v>238</v>
      </c>
      <c r="R89" s="20" t="s">
        <v>32</v>
      </c>
      <c r="S89" s="20"/>
      <c r="T89" s="20"/>
      <c r="U89" s="20"/>
      <c r="V89" s="20"/>
      <c r="W89" s="20"/>
      <c r="X89" s="20"/>
      <c r="Y89" s="9"/>
      <c r="Z89" s="9"/>
      <c r="AA89" s="9"/>
      <c r="AB89" s="9"/>
      <c r="AC89" s="9"/>
      <c r="AD89" s="9"/>
      <c r="AE89" s="9"/>
      <c r="AF89" s="18"/>
    </row>
    <row r="90" spans="2:36" x14ac:dyDescent="0.25">
      <c r="B90" s="4"/>
      <c r="E90" s="3"/>
      <c r="F90" s="3"/>
      <c r="G90" s="3"/>
      <c r="H90" s="3"/>
      <c r="J90" s="1" t="s">
        <v>239</v>
      </c>
      <c r="L90" s="4"/>
      <c r="M90" s="4"/>
      <c r="N90" s="4"/>
      <c r="O90" s="20"/>
      <c r="P90" s="1">
        <v>1787</v>
      </c>
      <c r="Q90" s="37" t="s">
        <v>240</v>
      </c>
      <c r="R90" s="20" t="s">
        <v>32</v>
      </c>
      <c r="S90" s="20"/>
      <c r="T90" s="20"/>
      <c r="U90" s="20"/>
      <c r="V90" s="20"/>
      <c r="W90" s="20"/>
      <c r="X90" s="20"/>
      <c r="Y90" s="34" t="s">
        <v>31</v>
      </c>
      <c r="Z90" s="34">
        <f>Z85*1.17</f>
        <v>33389.173756684489</v>
      </c>
      <c r="AA90" s="9"/>
      <c r="AB90" s="9"/>
      <c r="AC90" s="9"/>
      <c r="AD90" s="9"/>
      <c r="AE90" s="9"/>
      <c r="AF90" s="18"/>
    </row>
    <row r="91" spans="2:36" x14ac:dyDescent="0.25">
      <c r="B91" s="4"/>
      <c r="E91" s="3"/>
      <c r="F91" s="3"/>
      <c r="G91" s="3"/>
      <c r="H91" s="3"/>
      <c r="L91" s="4"/>
      <c r="M91" s="4"/>
      <c r="N91" s="4"/>
      <c r="O91" s="4"/>
      <c r="Q91" s="9"/>
      <c r="R91" s="9"/>
      <c r="S91" s="9"/>
      <c r="T91" s="9"/>
      <c r="U91" s="9"/>
      <c r="V91" s="9"/>
      <c r="W91" s="9"/>
      <c r="X91" s="9"/>
      <c r="Y91" s="34" t="s">
        <v>44</v>
      </c>
      <c r="Z91" s="34">
        <f>Z90/4</f>
        <v>8347.2934391711224</v>
      </c>
      <c r="AA91" s="9"/>
      <c r="AB91" s="9"/>
      <c r="AC91" s="9"/>
      <c r="AD91" s="9"/>
      <c r="AE91" s="9"/>
      <c r="AF91" s="18"/>
    </row>
    <row r="92" spans="2:36" x14ac:dyDescent="0.25">
      <c r="F92" s="1"/>
      <c r="G92" s="1"/>
      <c r="H92" s="1"/>
      <c r="J92" s="1" t="s">
        <v>32</v>
      </c>
      <c r="Q92" s="9"/>
      <c r="R92" s="4"/>
      <c r="S92" s="9"/>
      <c r="T92" s="5"/>
      <c r="U92" s="9"/>
      <c r="V92" s="4"/>
      <c r="W92" s="4"/>
      <c r="X92" s="9"/>
      <c r="Y92" s="9"/>
      <c r="Z92" s="9"/>
      <c r="AA92" s="9"/>
      <c r="AB92" s="9"/>
      <c r="AC92" s="9"/>
      <c r="AD92" s="9"/>
      <c r="AE92" s="9"/>
    </row>
    <row r="93" spans="2:36" x14ac:dyDescent="0.25">
      <c r="R93" s="4"/>
      <c r="S93" s="17"/>
      <c r="T93" s="17"/>
      <c r="U93" s="9"/>
      <c r="V93" s="4"/>
      <c r="W93" s="4"/>
      <c r="X93" s="9"/>
      <c r="Y93" s="9" t="s">
        <v>208</v>
      </c>
      <c r="Z93" s="9">
        <f>Z87-Y9-Y19-Y23-Y31-Y39-Y48-Y59-Y72</f>
        <v>27281.503267973858</v>
      </c>
      <c r="AA93" s="9"/>
      <c r="AB93" s="9"/>
      <c r="AC93" s="9"/>
      <c r="AD93" s="9"/>
      <c r="AE93" s="9"/>
    </row>
    <row r="94" spans="2:36" x14ac:dyDescent="0.25">
      <c r="Q94" s="9"/>
      <c r="R94" s="4"/>
      <c r="S94" s="16"/>
      <c r="T94" s="16"/>
      <c r="U94" s="9"/>
      <c r="V94" s="4"/>
      <c r="W94" s="4"/>
      <c r="X94" s="9"/>
      <c r="Y94" s="9" t="s">
        <v>31</v>
      </c>
      <c r="Z94" s="9">
        <f>Z93*1.17</f>
        <v>31919.358823529412</v>
      </c>
      <c r="AA94" s="9"/>
      <c r="AB94" s="9"/>
      <c r="AC94" s="9"/>
      <c r="AD94" s="9"/>
      <c r="AE94" s="9"/>
    </row>
    <row r="95" spans="2:36" x14ac:dyDescent="0.25">
      <c r="R95" s="4"/>
      <c r="S95" s="16"/>
      <c r="T95" s="16"/>
      <c r="Y95" s="9" t="s">
        <v>44</v>
      </c>
      <c r="Z95" s="9">
        <f>Z94/4</f>
        <v>7979.839705882353</v>
      </c>
      <c r="AA95" s="9"/>
      <c r="AB95" s="9"/>
      <c r="AC95" s="9"/>
      <c r="AD95" s="9"/>
      <c r="AE95" s="9"/>
    </row>
    <row r="96" spans="2:36" x14ac:dyDescent="0.25">
      <c r="T96" s="5"/>
      <c r="Y96" s="9"/>
      <c r="Z96" s="9"/>
      <c r="AA96" s="9"/>
      <c r="AB96" s="9"/>
      <c r="AC96" s="9"/>
      <c r="AD96" s="9"/>
      <c r="AE96" s="9"/>
    </row>
    <row r="97" spans="20:31" x14ac:dyDescent="0.25">
      <c r="T97" s="5"/>
      <c r="Y97" s="9" t="s">
        <v>227</v>
      </c>
      <c r="Z97" s="9">
        <v>11600</v>
      </c>
      <c r="AA97" s="9"/>
      <c r="AB97" s="9"/>
      <c r="AC97" s="9"/>
      <c r="AD97" s="9"/>
      <c r="AE97" s="9"/>
    </row>
    <row r="98" spans="20:31" x14ac:dyDescent="0.25">
      <c r="T98" s="5"/>
      <c r="Y98" s="9"/>
      <c r="Z98" s="9">
        <f>Z97/4</f>
        <v>2900</v>
      </c>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c r="Y103" s="9"/>
      <c r="Z103" s="9"/>
      <c r="AA103" s="9"/>
      <c r="AB103" s="9"/>
      <c r="AC103" s="9"/>
      <c r="AD103" s="9"/>
      <c r="AE103" s="9"/>
    </row>
    <row r="104" spans="20:31" x14ac:dyDescent="0.25">
      <c r="T104" s="5"/>
    </row>
    <row r="105" spans="20:31" x14ac:dyDescent="0.25">
      <c r="T105" s="5"/>
    </row>
    <row r="106" spans="20:31" x14ac:dyDescent="0.25">
      <c r="T106" s="5"/>
    </row>
    <row r="107" spans="20:31" x14ac:dyDescent="0.25">
      <c r="T107" s="5"/>
    </row>
    <row r="108" spans="20:31" x14ac:dyDescent="0.25">
      <c r="T108" s="5"/>
    </row>
  </sheetData>
  <autoFilter ref="B6:AE85" xr:uid="{65FA6D9B-E0AF-46CD-BA0D-86BB75FE6AB0}"/>
  <hyperlinks>
    <hyperlink ref="Q88" r:id="rId1" xr:uid="{3DB1D8B2-BCFC-481B-A3CB-9D3478A2658B}"/>
    <hyperlink ref="Q89" r:id="rId2" xr:uid="{3F13E7EB-4854-43C4-AA0D-D7DFE4803C52}"/>
    <hyperlink ref="Q90" r:id="rId3" xr:uid="{3D894D41-22F2-4804-848F-1682395A7CC4}"/>
    <hyperlink ref="P9" r:id="rId4" xr:uid="{9E9BDA22-C494-4475-95E4-07C427BB9AAD}"/>
    <hyperlink ref="P12" r:id="rId5" xr:uid="{F776C0BB-3D8D-447F-9321-088B96505702}"/>
    <hyperlink ref="P16" r:id="rId6" xr:uid="{45D4D58E-6FCE-46F7-B203-54F14D256FFA}"/>
    <hyperlink ref="P17" r:id="rId7" xr:uid="{BD9418A7-17DC-44DB-A2BB-F23332AC6CF2}"/>
    <hyperlink ref="P21" r:id="rId8" xr:uid="{E786549C-FAF9-460D-AF51-E18208602EA9}"/>
    <hyperlink ref="P25" r:id="rId9" xr:uid="{25A5EA5D-5064-4177-9B0C-CF4E13B3A92A}"/>
    <hyperlink ref="P26" r:id="rId10" location="/select-flight" xr:uid="{FFB5B6FA-0963-44B2-AFA8-C662569F68D8}"/>
    <hyperlink ref="P18" r:id="rId11" xr:uid="{1E8A57BC-E316-44CB-9C39-454125847EB2}"/>
    <hyperlink ref="P29" r:id="rId12" xr:uid="{8A8CDD94-2752-4F01-82DD-696A446FE2E2}"/>
    <hyperlink ref="P32" r:id="rId13" xr:uid="{656CB986-292B-47AC-B1D9-765935D930DD}"/>
    <hyperlink ref="P27" r:id="rId14" display="https://app.hotelbeds.com/carhire/search?seat=5&amp;results=20&amp;sortBy=LOWEST_PRICE_FIRST&amp;field=PRICE&amp;direction=ASCENDING&amp;page=1&amp;destinationTab=Alesund%20Airport%20(AES)&amp;pickupDate=07-07-2026&amp;pickupTime=13:00&amp;dropoffDate=10-07-2026&amp;dropoffTime=13:00&amp;sameOfficeCheckbox=true&amp;officePickupControl=56&amp;officeDropoffControl=56&amp;typeDepartureCode=airport&amp;_timestamp=1776932694225&amp;typeArrivalCode=airport&amp;departureTab=" xr:uid="{7029DB11-4105-4C22-8EAE-D757E649CB23}"/>
    <hyperlink ref="P23" r:id="rId15" xr:uid="{894245BF-9EFA-415A-A58D-BEF518622E0A}"/>
    <hyperlink ref="P61" r:id="rId16" xr:uid="{DD29F6EF-555C-4ADE-B431-26705D5D9A89}"/>
    <hyperlink ref="P46" r:id="rId17" xr:uid="{3450B75D-2E07-4EC7-93C2-350DFBC05E7E}"/>
    <hyperlink ref="P66" r:id="rId18" xr:uid="{02900260-095A-47BA-97E6-DA9F275931B4}"/>
    <hyperlink ref="P56" r:id="rId19" xr:uid="{58BA8535-08EA-432F-B125-708F9C3FB61B}"/>
    <hyperlink ref="P52" r:id="rId20" xr:uid="{2DA19A59-2D12-404B-8B58-DE6A236D0109}"/>
    <hyperlink ref="P50" r:id="rId21" display="https://app.hotelbeds.com/carhire/search?baggage=4&amp;results=20&amp;sortBy=LOWEST_PRICE_FIRST&amp;field=PRICE&amp;direction=ASCENDING&amp;page=2&amp;destinationTab=Reykjav%C3%ADk&amp;pickupDate=29-06-2026&amp;pickupTime=12:00&amp;dropoffDate=03-07-2026&amp;dropoffTime=12:00&amp;sameOfficeCheckbox=false&amp;officePickupControl=1171&amp;officeDropoffControl=701&amp;typeDepartureCode=airport&amp;_timestamp=1776931327625&amp;departureTab=Keflav%C3%ADk%20International%20Airport%20(KEF)&amp;typeArrivalCode=city" xr:uid="{D0A2E1AD-178A-42C7-814E-A09D3ED5E573}"/>
    <hyperlink ref="P64" r:id="rId22" xr:uid="{43729D6D-6578-4B3B-9E63-10627AC21766}"/>
    <hyperlink ref="P44" r:id="rId23" xr:uid="{0834C5D5-A8E4-4504-BF44-675A6C0ED3BF}"/>
    <hyperlink ref="P57" r:id="rId24" xr:uid="{2AEB407E-E6EA-46ED-8093-75CA8488A8F4}"/>
    <hyperlink ref="P42" r:id="rId25" display="https://www.ratehawk.com/hotel/iceland/reykjavik/mid10212475/hotel_reykjavik_saga/?q=6035025&amp;dates=26.06.2026-29.06.2026&amp;guests=2-2&amp;meal_types=breakfast.halfBoard.fullBoard.allInclusive&amp;payment=freecancellation&amp;price=one&amp;sid=f243b007-2b1d-4ac3-b6b1-95ff8c21d8da" xr:uid="{26C7CF89-CAF0-49C7-B773-71360410BCC4}"/>
  </hyperlinks>
  <pageMargins left="0.7" right="0.7" top="0.75" bottom="0.75" header="0.3" footer="0.3"/>
  <pageSetup paperSize="9" orientation="portrait" r:id="rId2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1B96-054B-4AC1-B00E-DE1E1EFBBBC5}">
  <sheetPr>
    <tabColor rgb="FFFFFF00"/>
  </sheetPr>
  <dimension ref="B1:AJ108"/>
  <sheetViews>
    <sheetView topLeftCell="A25" zoomScale="80" zoomScaleNormal="80" workbookViewId="0">
      <selection activeCell="A25" sqref="A25"/>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customWidth="1" outlineLevel="1"/>
    <col min="9" max="9" width="21.7109375" style="1" customWidth="1" outlineLevel="1"/>
    <col min="10" max="10" width="53.85546875" style="1" customWidth="1"/>
    <col min="11" max="12" width="8.140625" style="1" customWidth="1" outlineLevel="1"/>
    <col min="13" max="13" width="24" style="1" customWidth="1" outlineLevel="1"/>
    <col min="14" max="15" width="11.7109375" style="1" customWidth="1" outlineLevel="1"/>
    <col min="16" max="16" width="8.140625" style="1" customWidth="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customWidth="1" outlineLevel="1"/>
    <col min="37" max="82" width="9" style="1" customWidth="1"/>
    <col min="83" max="16384" width="8.7109375" style="1"/>
  </cols>
  <sheetData>
    <row r="1" spans="2:36" x14ac:dyDescent="0.25">
      <c r="B1" s="2" t="s">
        <v>244</v>
      </c>
    </row>
    <row r="2" spans="2:36" x14ac:dyDescent="0.25">
      <c r="B2" s="2" t="s">
        <v>212</v>
      </c>
    </row>
    <row r="3" spans="2:36" x14ac:dyDescent="0.25">
      <c r="B3" s="2" t="s">
        <v>45</v>
      </c>
    </row>
    <row r="4" spans="2:36" x14ac:dyDescent="0.25">
      <c r="B4" s="2" t="s">
        <v>46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 si="0">+Q7*R7</f>
        <v>0</v>
      </c>
      <c r="T7" s="5">
        <v>0</v>
      </c>
      <c r="U7" s="12">
        <f t="shared" ref="U7" si="1">S7*(1-T7)</f>
        <v>0</v>
      </c>
      <c r="V7" s="25" t="s">
        <v>10</v>
      </c>
      <c r="W7" s="11">
        <f>IFERROR(VLOOKUP(V7,Curr!$B$2:$C$13,2,FALSE),0)</f>
        <v>10.8</v>
      </c>
      <c r="X7" s="12">
        <f t="shared" ref="X7" si="2">U7*W7</f>
        <v>0</v>
      </c>
      <c r="Y7" s="26">
        <f t="shared" ref="Y7" si="3">Q7</f>
        <v>0</v>
      </c>
      <c r="Z7" s="12">
        <f t="shared" ref="Z7" si="4">+Y7*R7</f>
        <v>0</v>
      </c>
      <c r="AA7" s="4" t="s">
        <v>10</v>
      </c>
      <c r="AB7" s="11">
        <f>IFERROR(VLOOKUP(AA7,Curr!$B$2:$C$13,2,FALSE),0)</f>
        <v>10.8</v>
      </c>
      <c r="AC7" s="12">
        <f t="shared" ref="AC7" si="5">+Y7*AB7*R7</f>
        <v>0</v>
      </c>
      <c r="AD7" s="12">
        <f t="shared" ref="AD7" si="6">+AC7-X7</f>
        <v>0</v>
      </c>
      <c r="AE7" s="13">
        <f t="shared" ref="AE7" si="7">IFERROR(AD7/AC7,0)</f>
        <v>0</v>
      </c>
    </row>
    <row r="8" spans="2:36" x14ac:dyDescent="0.25">
      <c r="B8" s="4"/>
      <c r="E8" s="3"/>
      <c r="F8" s="3"/>
      <c r="G8" s="24"/>
      <c r="H8" s="24"/>
      <c r="K8" s="4"/>
      <c r="L8" s="4"/>
      <c r="M8" s="4"/>
      <c r="N8" s="4"/>
      <c r="O8" s="4"/>
      <c r="P8" s="33"/>
      <c r="Q8" s="25">
        <v>0</v>
      </c>
      <c r="R8" s="25">
        <v>0</v>
      </c>
      <c r="S8" s="12">
        <f t="shared" ref="S8:S71" si="8">+Q8*R8</f>
        <v>0</v>
      </c>
      <c r="T8" s="5">
        <v>0</v>
      </c>
      <c r="U8" s="12">
        <f t="shared" ref="U8:U71" si="9">S8*(1-T8)</f>
        <v>0</v>
      </c>
      <c r="V8" s="25" t="s">
        <v>10</v>
      </c>
      <c r="W8" s="11">
        <f>IFERROR(VLOOKUP(V8,Curr!$B$2:$C$13,2,FALSE),0)</f>
        <v>10.8</v>
      </c>
      <c r="X8" s="12">
        <f t="shared" ref="X8:X71" si="10">U8*W8</f>
        <v>0</v>
      </c>
      <c r="Y8" s="26">
        <f t="shared" ref="Y8:Y71" si="11">Q8</f>
        <v>0</v>
      </c>
      <c r="Z8" s="12">
        <f t="shared" ref="Z8:Z71" si="12">+Y8*R8</f>
        <v>0</v>
      </c>
      <c r="AA8" s="4" t="s">
        <v>10</v>
      </c>
      <c r="AB8" s="11">
        <f>IFERROR(VLOOKUP(AA8,Curr!$B$2:$C$13,2,FALSE),0)</f>
        <v>10.8</v>
      </c>
      <c r="AC8" s="12">
        <f t="shared" ref="AC8:AC71" si="13">+Y8*AB8*R8</f>
        <v>0</v>
      </c>
      <c r="AD8" s="12">
        <f t="shared" ref="AD8:AD71" si="14">+AC8-X8</f>
        <v>0</v>
      </c>
      <c r="AE8" s="13">
        <f t="shared" ref="AE8:AE71" si="15">IFERROR(AD8/AC8,0)</f>
        <v>0</v>
      </c>
    </row>
    <row r="9" spans="2:36" x14ac:dyDescent="0.25">
      <c r="B9" s="4"/>
      <c r="E9" s="3"/>
      <c r="F9" s="3"/>
      <c r="G9" s="24"/>
      <c r="H9" s="24"/>
      <c r="K9" s="4"/>
      <c r="L9" s="4"/>
      <c r="M9" s="4"/>
      <c r="N9" s="4"/>
      <c r="O9" s="4"/>
      <c r="P9" s="33"/>
      <c r="Q9" s="25">
        <v>0</v>
      </c>
      <c r="R9" s="25">
        <v>0</v>
      </c>
      <c r="S9" s="12">
        <f t="shared" si="8"/>
        <v>0</v>
      </c>
      <c r="T9" s="5">
        <v>0</v>
      </c>
      <c r="U9" s="12">
        <f t="shared" si="9"/>
        <v>0</v>
      </c>
      <c r="V9" s="25" t="s">
        <v>10</v>
      </c>
      <c r="W9" s="11">
        <f>IFERROR(VLOOKUP(V9,Curr!$B$2:$C$13,2,FALSE),0)</f>
        <v>10.8</v>
      </c>
      <c r="X9" s="12">
        <f t="shared" si="10"/>
        <v>0</v>
      </c>
      <c r="Y9" s="26">
        <f t="shared" si="11"/>
        <v>0</v>
      </c>
      <c r="Z9" s="12">
        <f t="shared" si="12"/>
        <v>0</v>
      </c>
      <c r="AA9" s="4" t="s">
        <v>10</v>
      </c>
      <c r="AB9" s="11">
        <f>IFERROR(VLOOKUP(AA9,Curr!$B$2:$C$13,2,FALSE),0)</f>
        <v>10.8</v>
      </c>
      <c r="AC9" s="12">
        <f t="shared" si="13"/>
        <v>0</v>
      </c>
      <c r="AD9" s="12">
        <f t="shared" si="14"/>
        <v>0</v>
      </c>
      <c r="AE9" s="13">
        <f t="shared" si="15"/>
        <v>0</v>
      </c>
    </row>
    <row r="10" spans="2:36" x14ac:dyDescent="0.25">
      <c r="B10" s="4"/>
      <c r="E10" s="3"/>
      <c r="F10" s="3"/>
      <c r="G10" s="24"/>
      <c r="H10" s="24"/>
      <c r="K10" s="4"/>
      <c r="L10" s="4"/>
      <c r="M10" s="4"/>
      <c r="N10" s="4"/>
      <c r="O10" s="4"/>
      <c r="P10" s="33"/>
      <c r="Q10" s="25">
        <v>0</v>
      </c>
      <c r="R10" s="25">
        <v>0</v>
      </c>
      <c r="S10" s="12">
        <f t="shared" si="8"/>
        <v>0</v>
      </c>
      <c r="T10" s="5">
        <v>0</v>
      </c>
      <c r="U10" s="12">
        <f t="shared" si="9"/>
        <v>0</v>
      </c>
      <c r="V10" s="25" t="s">
        <v>10</v>
      </c>
      <c r="W10" s="11">
        <f>IFERROR(VLOOKUP(V10,Curr!$B$2:$C$13,2,FALSE),0)</f>
        <v>10.8</v>
      </c>
      <c r="X10" s="12">
        <f t="shared" si="10"/>
        <v>0</v>
      </c>
      <c r="Y10" s="26">
        <f t="shared" si="11"/>
        <v>0</v>
      </c>
      <c r="Z10" s="12">
        <f t="shared" si="12"/>
        <v>0</v>
      </c>
      <c r="AA10" s="4" t="s">
        <v>10</v>
      </c>
      <c r="AB10" s="11">
        <f>IFERROR(VLOOKUP(AA10,Curr!$B$2:$C$13,2,FALSE),0)</f>
        <v>10.8</v>
      </c>
      <c r="AC10" s="12">
        <f t="shared" si="13"/>
        <v>0</v>
      </c>
      <c r="AD10" s="12">
        <f t="shared" si="14"/>
        <v>0</v>
      </c>
      <c r="AE10" s="13">
        <f t="shared" si="15"/>
        <v>0</v>
      </c>
    </row>
    <row r="11" spans="2:36" x14ac:dyDescent="0.25">
      <c r="B11" s="4"/>
      <c r="E11" s="3"/>
      <c r="F11" s="3"/>
      <c r="G11" s="24"/>
      <c r="H11" s="24"/>
      <c r="K11" s="4"/>
      <c r="L11" s="4"/>
      <c r="M11" s="4"/>
      <c r="N11" s="4"/>
      <c r="O11" s="4"/>
      <c r="P11" s="33"/>
      <c r="Q11" s="25">
        <v>0</v>
      </c>
      <c r="R11" s="25">
        <v>0</v>
      </c>
      <c r="S11" s="12">
        <f t="shared" si="8"/>
        <v>0</v>
      </c>
      <c r="T11" s="5">
        <v>0</v>
      </c>
      <c r="U11" s="12">
        <f t="shared" si="9"/>
        <v>0</v>
      </c>
      <c r="V11" s="25" t="s">
        <v>10</v>
      </c>
      <c r="W11" s="11">
        <f>IFERROR(VLOOKUP(V11,Curr!$B$2:$C$13,2,FALSE),0)</f>
        <v>10.8</v>
      </c>
      <c r="X11" s="12">
        <f t="shared" si="10"/>
        <v>0</v>
      </c>
      <c r="Y11" s="26">
        <f t="shared" si="11"/>
        <v>0</v>
      </c>
      <c r="Z11" s="12">
        <f t="shared" si="12"/>
        <v>0</v>
      </c>
      <c r="AA11" s="4" t="s">
        <v>10</v>
      </c>
      <c r="AB11" s="11">
        <f>IFERROR(VLOOKUP(AA11,Curr!$B$2:$C$13,2,FALSE),0)</f>
        <v>10.8</v>
      </c>
      <c r="AC11" s="12">
        <f t="shared" si="13"/>
        <v>0</v>
      </c>
      <c r="AD11" s="12">
        <f t="shared" si="14"/>
        <v>0</v>
      </c>
      <c r="AE11" s="13">
        <f t="shared" si="15"/>
        <v>0</v>
      </c>
    </row>
    <row r="12" spans="2:36" x14ac:dyDescent="0.25">
      <c r="B12" s="4"/>
      <c r="E12" s="3"/>
      <c r="F12" s="3"/>
      <c r="G12" s="24"/>
      <c r="H12" s="24"/>
      <c r="K12" s="4"/>
      <c r="L12" s="4"/>
      <c r="M12" s="4"/>
      <c r="N12" s="4"/>
      <c r="O12" s="4"/>
      <c r="P12" s="33"/>
      <c r="Q12" s="25">
        <v>0</v>
      </c>
      <c r="R12" s="25">
        <v>0</v>
      </c>
      <c r="S12" s="12">
        <f t="shared" si="8"/>
        <v>0</v>
      </c>
      <c r="T12" s="5">
        <v>0</v>
      </c>
      <c r="U12" s="12">
        <f t="shared" si="9"/>
        <v>0</v>
      </c>
      <c r="V12" s="25" t="s">
        <v>10</v>
      </c>
      <c r="W12" s="11">
        <f>IFERROR(VLOOKUP(V12,Curr!$B$2:$C$13,2,FALSE),0)</f>
        <v>10.8</v>
      </c>
      <c r="X12" s="12">
        <f t="shared" si="10"/>
        <v>0</v>
      </c>
      <c r="Y12" s="26">
        <f t="shared" si="11"/>
        <v>0</v>
      </c>
      <c r="Z12" s="12">
        <f t="shared" si="12"/>
        <v>0</v>
      </c>
      <c r="AA12" s="4" t="s">
        <v>10</v>
      </c>
      <c r="AB12" s="11">
        <f>IFERROR(VLOOKUP(AA12,Curr!$B$2:$C$13,2,FALSE),0)</f>
        <v>10.8</v>
      </c>
      <c r="AC12" s="12">
        <f t="shared" si="13"/>
        <v>0</v>
      </c>
      <c r="AD12" s="12">
        <f t="shared" si="14"/>
        <v>0</v>
      </c>
      <c r="AE12" s="13">
        <f t="shared" si="15"/>
        <v>0</v>
      </c>
    </row>
    <row r="13" spans="2:36" x14ac:dyDescent="0.25">
      <c r="B13" s="4"/>
      <c r="E13" s="3"/>
      <c r="F13" s="3"/>
      <c r="G13" s="24"/>
      <c r="H13" s="24"/>
      <c r="K13" s="4"/>
      <c r="L13" s="4"/>
      <c r="M13" s="4"/>
      <c r="N13" s="4"/>
      <c r="O13" s="4"/>
      <c r="P13" s="33"/>
      <c r="Q13" s="25">
        <v>0</v>
      </c>
      <c r="R13" s="25">
        <v>0</v>
      </c>
      <c r="S13" s="12">
        <f t="shared" si="8"/>
        <v>0</v>
      </c>
      <c r="T13" s="5">
        <v>0</v>
      </c>
      <c r="U13" s="12">
        <f t="shared" si="9"/>
        <v>0</v>
      </c>
      <c r="V13" s="25" t="s">
        <v>10</v>
      </c>
      <c r="W13" s="11">
        <f>IFERROR(VLOOKUP(V13,Curr!$B$2:$C$13,2,FALSE),0)</f>
        <v>10.8</v>
      </c>
      <c r="X13" s="12">
        <f t="shared" si="10"/>
        <v>0</v>
      </c>
      <c r="Y13" s="26">
        <f t="shared" si="11"/>
        <v>0</v>
      </c>
      <c r="Z13" s="12">
        <f t="shared" si="12"/>
        <v>0</v>
      </c>
      <c r="AA13" s="4" t="s">
        <v>10</v>
      </c>
      <c r="AB13" s="11">
        <f>IFERROR(VLOOKUP(AA13,Curr!$B$2:$C$13,2,FALSE),0)</f>
        <v>10.8</v>
      </c>
      <c r="AC13" s="12">
        <f t="shared" si="13"/>
        <v>0</v>
      </c>
      <c r="AD13" s="12">
        <f t="shared" si="14"/>
        <v>0</v>
      </c>
      <c r="AE13" s="13">
        <f t="shared" si="15"/>
        <v>0</v>
      </c>
    </row>
    <row r="14" spans="2:36" x14ac:dyDescent="0.25">
      <c r="B14" s="4"/>
      <c r="F14" s="3"/>
      <c r="G14" s="24"/>
      <c r="H14" s="24"/>
      <c r="K14" s="4"/>
      <c r="L14" s="4"/>
      <c r="M14" s="4"/>
      <c r="N14" s="4"/>
      <c r="O14" s="4"/>
      <c r="P14" s="27"/>
      <c r="Q14" s="25">
        <v>0</v>
      </c>
      <c r="R14" s="25">
        <v>0</v>
      </c>
      <c r="S14" s="12">
        <f t="shared" si="8"/>
        <v>0</v>
      </c>
      <c r="T14" s="5">
        <v>0</v>
      </c>
      <c r="U14" s="12">
        <f t="shared" si="9"/>
        <v>0</v>
      </c>
      <c r="V14" s="25" t="s">
        <v>10</v>
      </c>
      <c r="W14" s="11">
        <f>IFERROR(VLOOKUP(V14,Curr!$B$2:$C$13,2,FALSE),0)</f>
        <v>10.8</v>
      </c>
      <c r="X14" s="12">
        <f t="shared" si="10"/>
        <v>0</v>
      </c>
      <c r="Y14" s="26">
        <f t="shared" si="11"/>
        <v>0</v>
      </c>
      <c r="Z14" s="12">
        <f t="shared" si="12"/>
        <v>0</v>
      </c>
      <c r="AA14" s="4" t="s">
        <v>10</v>
      </c>
      <c r="AB14" s="11">
        <f>IFERROR(VLOOKUP(AA14,Curr!$B$2:$C$13,2,FALSE),0)</f>
        <v>10.8</v>
      </c>
      <c r="AC14" s="12">
        <f t="shared" si="13"/>
        <v>0</v>
      </c>
      <c r="AD14" s="12">
        <f t="shared" si="14"/>
        <v>0</v>
      </c>
      <c r="AE14" s="13">
        <f t="shared" si="15"/>
        <v>0</v>
      </c>
    </row>
    <row r="15" spans="2:36" x14ac:dyDescent="0.25">
      <c r="B15" s="4"/>
      <c r="E15" s="3"/>
      <c r="F15" s="3"/>
      <c r="G15" s="24"/>
      <c r="H15" s="24"/>
      <c r="K15" s="4"/>
      <c r="L15" s="4"/>
      <c r="M15" s="4"/>
      <c r="N15" s="4"/>
      <c r="O15" s="4"/>
      <c r="P15" s="33"/>
      <c r="Q15" s="25">
        <v>0</v>
      </c>
      <c r="R15" s="25">
        <v>0</v>
      </c>
      <c r="S15" s="12">
        <f t="shared" si="8"/>
        <v>0</v>
      </c>
      <c r="T15" s="5">
        <v>0</v>
      </c>
      <c r="U15" s="12">
        <f t="shared" si="9"/>
        <v>0</v>
      </c>
      <c r="V15" s="25" t="s">
        <v>10</v>
      </c>
      <c r="W15" s="11">
        <f>IFERROR(VLOOKUP(V15,Curr!$B$2:$C$13,2,FALSE),0)</f>
        <v>10.8</v>
      </c>
      <c r="X15" s="12">
        <f t="shared" si="10"/>
        <v>0</v>
      </c>
      <c r="Y15" s="26">
        <f t="shared" si="11"/>
        <v>0</v>
      </c>
      <c r="Z15" s="12">
        <f t="shared" si="12"/>
        <v>0</v>
      </c>
      <c r="AA15" s="4" t="s">
        <v>10</v>
      </c>
      <c r="AB15" s="11">
        <f>IFERROR(VLOOKUP(AA15,Curr!$B$2:$C$13,2,FALSE),0)</f>
        <v>10.8</v>
      </c>
      <c r="AC15" s="12">
        <f t="shared" si="13"/>
        <v>0</v>
      </c>
      <c r="AD15" s="12">
        <f t="shared" si="14"/>
        <v>0</v>
      </c>
      <c r="AE15" s="13">
        <f t="shared" si="15"/>
        <v>0</v>
      </c>
    </row>
    <row r="16" spans="2:36" x14ac:dyDescent="0.25">
      <c r="B16" s="4"/>
      <c r="E16" s="3"/>
      <c r="F16" s="3"/>
      <c r="G16" s="24"/>
      <c r="H16" s="24"/>
      <c r="K16" s="4"/>
      <c r="L16" s="4"/>
      <c r="M16" s="4"/>
      <c r="N16" s="4"/>
      <c r="O16" s="4"/>
      <c r="P16" s="33"/>
      <c r="Q16" s="25">
        <v>0</v>
      </c>
      <c r="R16" s="25">
        <v>0</v>
      </c>
      <c r="S16" s="12">
        <f t="shared" si="8"/>
        <v>0</v>
      </c>
      <c r="T16" s="5">
        <v>0</v>
      </c>
      <c r="U16" s="12">
        <f t="shared" si="9"/>
        <v>0</v>
      </c>
      <c r="V16" s="25" t="s">
        <v>10</v>
      </c>
      <c r="W16" s="11">
        <f>IFERROR(VLOOKUP(V16,Curr!$B$2:$C$13,2,FALSE),0)</f>
        <v>10.8</v>
      </c>
      <c r="X16" s="12">
        <f t="shared" si="10"/>
        <v>0</v>
      </c>
      <c r="Y16" s="26">
        <f t="shared" si="11"/>
        <v>0</v>
      </c>
      <c r="Z16" s="12">
        <f t="shared" si="12"/>
        <v>0</v>
      </c>
      <c r="AA16" s="4" t="s">
        <v>10</v>
      </c>
      <c r="AB16" s="11">
        <f>IFERROR(VLOOKUP(AA16,Curr!$B$2:$C$13,2,FALSE),0)</f>
        <v>10.8</v>
      </c>
      <c r="AC16" s="12">
        <f t="shared" si="13"/>
        <v>0</v>
      </c>
      <c r="AD16" s="12">
        <f t="shared" si="14"/>
        <v>0</v>
      </c>
      <c r="AE16" s="13">
        <f t="shared" si="15"/>
        <v>0</v>
      </c>
    </row>
    <row r="17" spans="2:31" x14ac:dyDescent="0.25">
      <c r="B17" s="4"/>
      <c r="E17" s="3"/>
      <c r="F17" s="3"/>
      <c r="G17" s="24"/>
      <c r="H17" s="24"/>
      <c r="K17" s="4"/>
      <c r="L17" s="4"/>
      <c r="M17" s="4"/>
      <c r="N17" s="4"/>
      <c r="O17" s="4"/>
      <c r="P17" s="33"/>
      <c r="Q17" s="25">
        <v>0</v>
      </c>
      <c r="R17" s="25">
        <v>0</v>
      </c>
      <c r="S17" s="12">
        <f t="shared" si="8"/>
        <v>0</v>
      </c>
      <c r="T17" s="5">
        <v>0</v>
      </c>
      <c r="U17" s="12">
        <f t="shared" si="9"/>
        <v>0</v>
      </c>
      <c r="V17" s="25" t="s">
        <v>10</v>
      </c>
      <c r="W17" s="11">
        <f>IFERROR(VLOOKUP(V17,Curr!$B$2:$C$13,2,FALSE),0)</f>
        <v>10.8</v>
      </c>
      <c r="X17" s="12">
        <f t="shared" si="10"/>
        <v>0</v>
      </c>
      <c r="Y17" s="26">
        <f t="shared" si="11"/>
        <v>0</v>
      </c>
      <c r="Z17" s="12">
        <f t="shared" si="12"/>
        <v>0</v>
      </c>
      <c r="AA17" s="4" t="s">
        <v>10</v>
      </c>
      <c r="AB17" s="11">
        <f>IFERROR(VLOOKUP(AA17,Curr!$B$2:$C$13,2,FALSE),0)</f>
        <v>10.8</v>
      </c>
      <c r="AC17" s="12">
        <f t="shared" si="13"/>
        <v>0</v>
      </c>
      <c r="AD17" s="12">
        <f t="shared" si="14"/>
        <v>0</v>
      </c>
      <c r="AE17" s="13">
        <f t="shared" si="15"/>
        <v>0</v>
      </c>
    </row>
    <row r="18" spans="2:31" x14ac:dyDescent="0.25">
      <c r="B18" s="4"/>
      <c r="E18" s="3"/>
      <c r="F18" s="3"/>
      <c r="G18" s="24"/>
      <c r="H18" s="24"/>
      <c r="K18" s="4"/>
      <c r="L18" s="4"/>
      <c r="M18" s="4"/>
      <c r="N18" s="4"/>
      <c r="O18" s="4"/>
      <c r="P18" s="29"/>
      <c r="Q18" s="25">
        <v>0</v>
      </c>
      <c r="R18" s="25">
        <v>0</v>
      </c>
      <c r="S18" s="12">
        <f t="shared" si="8"/>
        <v>0</v>
      </c>
      <c r="T18" s="5">
        <v>0</v>
      </c>
      <c r="U18" s="12">
        <f t="shared" si="9"/>
        <v>0</v>
      </c>
      <c r="V18" s="25" t="s">
        <v>10</v>
      </c>
      <c r="W18" s="11">
        <f>IFERROR(VLOOKUP(V18,Curr!$B$2:$C$13,2,FALSE),0)</f>
        <v>10.8</v>
      </c>
      <c r="X18" s="12">
        <f t="shared" si="10"/>
        <v>0</v>
      </c>
      <c r="Y18" s="26">
        <f t="shared" si="11"/>
        <v>0</v>
      </c>
      <c r="Z18" s="12">
        <f t="shared" si="12"/>
        <v>0</v>
      </c>
      <c r="AA18" s="4" t="s">
        <v>10</v>
      </c>
      <c r="AB18" s="11">
        <f>IFERROR(VLOOKUP(AA18,Curr!$B$2:$C$13,2,FALSE),0)</f>
        <v>10.8</v>
      </c>
      <c r="AC18" s="12">
        <f t="shared" si="13"/>
        <v>0</v>
      </c>
      <c r="AD18" s="12">
        <f t="shared" si="14"/>
        <v>0</v>
      </c>
      <c r="AE18" s="13">
        <f t="shared" si="15"/>
        <v>0</v>
      </c>
    </row>
    <row r="19" spans="2:31" x14ac:dyDescent="0.25">
      <c r="B19" s="4"/>
      <c r="E19" s="3"/>
      <c r="F19" s="3"/>
      <c r="G19" s="24"/>
      <c r="H19" s="24"/>
      <c r="K19" s="4"/>
      <c r="L19" s="4"/>
      <c r="M19" s="4"/>
      <c r="N19" s="4"/>
      <c r="O19" s="4"/>
      <c r="P19" s="33"/>
      <c r="Q19" s="25">
        <v>0</v>
      </c>
      <c r="R19" s="25">
        <v>0</v>
      </c>
      <c r="S19" s="12">
        <f t="shared" si="8"/>
        <v>0</v>
      </c>
      <c r="T19" s="5">
        <v>0</v>
      </c>
      <c r="U19" s="12">
        <f t="shared" si="9"/>
        <v>0</v>
      </c>
      <c r="V19" s="25" t="s">
        <v>10</v>
      </c>
      <c r="W19" s="11">
        <f>IFERROR(VLOOKUP(V19,Curr!$B$2:$C$13,2,FALSE),0)</f>
        <v>10.8</v>
      </c>
      <c r="X19" s="12">
        <f t="shared" si="10"/>
        <v>0</v>
      </c>
      <c r="Y19" s="26">
        <f t="shared" si="11"/>
        <v>0</v>
      </c>
      <c r="Z19" s="12">
        <f t="shared" si="12"/>
        <v>0</v>
      </c>
      <c r="AA19" s="4" t="s">
        <v>10</v>
      </c>
      <c r="AB19" s="11">
        <f>IFERROR(VLOOKUP(AA19,Curr!$B$2:$C$13,2,FALSE),0)</f>
        <v>10.8</v>
      </c>
      <c r="AC19" s="12">
        <f t="shared" si="13"/>
        <v>0</v>
      </c>
      <c r="AD19" s="12">
        <f t="shared" si="14"/>
        <v>0</v>
      </c>
      <c r="AE19" s="13">
        <f t="shared" si="15"/>
        <v>0</v>
      </c>
    </row>
    <row r="20" spans="2:31" x14ac:dyDescent="0.25">
      <c r="B20" s="4"/>
      <c r="E20" s="3"/>
      <c r="F20" s="3"/>
      <c r="G20" s="24"/>
      <c r="H20" s="24"/>
      <c r="K20" s="4"/>
      <c r="L20" s="4"/>
      <c r="M20" s="4"/>
      <c r="N20" s="4"/>
      <c r="O20" s="4"/>
      <c r="P20" s="33"/>
      <c r="Q20" s="25">
        <v>0</v>
      </c>
      <c r="R20" s="25">
        <v>0</v>
      </c>
      <c r="S20" s="12">
        <f t="shared" si="8"/>
        <v>0</v>
      </c>
      <c r="T20" s="5">
        <v>0</v>
      </c>
      <c r="U20" s="12">
        <f t="shared" si="9"/>
        <v>0</v>
      </c>
      <c r="V20" s="25" t="s">
        <v>10</v>
      </c>
      <c r="W20" s="11">
        <f>IFERROR(VLOOKUP(V20,Curr!$B$2:$C$13,2,FALSE),0)</f>
        <v>10.8</v>
      </c>
      <c r="X20" s="12">
        <f t="shared" si="10"/>
        <v>0</v>
      </c>
      <c r="Y20" s="26">
        <f t="shared" si="11"/>
        <v>0</v>
      </c>
      <c r="Z20" s="12">
        <f t="shared" si="12"/>
        <v>0</v>
      </c>
      <c r="AA20" s="4" t="s">
        <v>10</v>
      </c>
      <c r="AB20" s="11">
        <f>IFERROR(VLOOKUP(AA20,Curr!$B$2:$C$13,2,FALSE),0)</f>
        <v>10.8</v>
      </c>
      <c r="AC20" s="12">
        <f t="shared" si="13"/>
        <v>0</v>
      </c>
      <c r="AD20" s="12">
        <f t="shared" si="14"/>
        <v>0</v>
      </c>
      <c r="AE20" s="13">
        <f t="shared" si="15"/>
        <v>0</v>
      </c>
    </row>
    <row r="21" spans="2:31" x14ac:dyDescent="0.25">
      <c r="B21" s="4"/>
      <c r="E21" s="3"/>
      <c r="F21" s="3"/>
      <c r="G21" s="24"/>
      <c r="H21" s="24"/>
      <c r="K21" s="4"/>
      <c r="L21" s="4"/>
      <c r="M21" s="4"/>
      <c r="N21" s="4"/>
      <c r="O21" s="4"/>
      <c r="P21" s="33"/>
      <c r="Q21" s="25">
        <v>0</v>
      </c>
      <c r="R21" s="25">
        <v>0</v>
      </c>
      <c r="S21" s="12">
        <f t="shared" si="8"/>
        <v>0</v>
      </c>
      <c r="T21" s="5">
        <v>0</v>
      </c>
      <c r="U21" s="12">
        <f t="shared" si="9"/>
        <v>0</v>
      </c>
      <c r="V21" s="25" t="s">
        <v>10</v>
      </c>
      <c r="W21" s="11">
        <f>IFERROR(VLOOKUP(V21,Curr!$B$2:$C$13,2,FALSE),0)</f>
        <v>10.8</v>
      </c>
      <c r="X21" s="12">
        <f t="shared" si="10"/>
        <v>0</v>
      </c>
      <c r="Y21" s="26">
        <f t="shared" si="11"/>
        <v>0</v>
      </c>
      <c r="Z21" s="12">
        <f t="shared" si="12"/>
        <v>0</v>
      </c>
      <c r="AA21" s="4" t="s">
        <v>10</v>
      </c>
      <c r="AB21" s="11">
        <f>IFERROR(VLOOKUP(AA21,Curr!$B$2:$C$13,2,FALSE),0)</f>
        <v>10.8</v>
      </c>
      <c r="AC21" s="12">
        <f t="shared" si="13"/>
        <v>0</v>
      </c>
      <c r="AD21" s="12">
        <f t="shared" si="14"/>
        <v>0</v>
      </c>
      <c r="AE21" s="13">
        <f t="shared" si="15"/>
        <v>0</v>
      </c>
    </row>
    <row r="22" spans="2:31" x14ac:dyDescent="0.25">
      <c r="B22" s="4"/>
      <c r="E22" s="3"/>
      <c r="F22" s="3"/>
      <c r="G22" s="24"/>
      <c r="H22" s="24"/>
      <c r="K22" s="4"/>
      <c r="L22" s="4"/>
      <c r="M22" s="4"/>
      <c r="N22" s="4"/>
      <c r="O22" s="4"/>
      <c r="P22" s="33"/>
      <c r="Q22" s="25">
        <v>0</v>
      </c>
      <c r="R22" s="25">
        <v>0</v>
      </c>
      <c r="S22" s="12">
        <f t="shared" si="8"/>
        <v>0</v>
      </c>
      <c r="T22" s="5">
        <v>0</v>
      </c>
      <c r="U22" s="12">
        <f t="shared" si="9"/>
        <v>0</v>
      </c>
      <c r="V22" s="25" t="s">
        <v>10</v>
      </c>
      <c r="W22" s="11">
        <f>IFERROR(VLOOKUP(V22,Curr!$B$2:$C$13,2,FALSE),0)</f>
        <v>10.8</v>
      </c>
      <c r="X22" s="12">
        <f t="shared" si="10"/>
        <v>0</v>
      </c>
      <c r="Y22" s="26">
        <f t="shared" si="11"/>
        <v>0</v>
      </c>
      <c r="Z22" s="12">
        <f t="shared" si="12"/>
        <v>0</v>
      </c>
      <c r="AA22" s="4" t="s">
        <v>10</v>
      </c>
      <c r="AB22" s="11">
        <f>IFERROR(VLOOKUP(AA22,Curr!$B$2:$C$13,2,FALSE),0)</f>
        <v>10.8</v>
      </c>
      <c r="AC22" s="12">
        <f t="shared" si="13"/>
        <v>0</v>
      </c>
      <c r="AD22" s="12">
        <f t="shared" si="14"/>
        <v>0</v>
      </c>
      <c r="AE22" s="13">
        <f t="shared" si="15"/>
        <v>0</v>
      </c>
    </row>
    <row r="23" spans="2:31" x14ac:dyDescent="0.25">
      <c r="B23" s="4"/>
      <c r="E23" s="3"/>
      <c r="F23" s="3"/>
      <c r="G23" s="24"/>
      <c r="H23" s="24"/>
      <c r="K23" s="4"/>
      <c r="L23" s="4"/>
      <c r="M23" s="4"/>
      <c r="N23" s="4"/>
      <c r="O23" s="4"/>
      <c r="P23" s="33"/>
      <c r="Q23" s="25">
        <v>0</v>
      </c>
      <c r="R23" s="25">
        <v>0</v>
      </c>
      <c r="S23" s="12">
        <f t="shared" si="8"/>
        <v>0</v>
      </c>
      <c r="T23" s="5">
        <v>0</v>
      </c>
      <c r="U23" s="12">
        <f t="shared" si="9"/>
        <v>0</v>
      </c>
      <c r="V23" s="25" t="s">
        <v>10</v>
      </c>
      <c r="W23" s="11">
        <f>IFERROR(VLOOKUP(V23,Curr!$B$2:$C$13,2,FALSE),0)</f>
        <v>10.8</v>
      </c>
      <c r="X23" s="12">
        <f t="shared" si="10"/>
        <v>0</v>
      </c>
      <c r="Y23" s="26">
        <f t="shared" si="11"/>
        <v>0</v>
      </c>
      <c r="Z23" s="12">
        <f t="shared" si="12"/>
        <v>0</v>
      </c>
      <c r="AA23" s="4" t="s">
        <v>10</v>
      </c>
      <c r="AB23" s="11">
        <f>IFERROR(VLOOKUP(AA23,Curr!$B$2:$C$13,2,FALSE),0)</f>
        <v>10.8</v>
      </c>
      <c r="AC23" s="12">
        <f t="shared" si="13"/>
        <v>0</v>
      </c>
      <c r="AD23" s="12">
        <f t="shared" si="14"/>
        <v>0</v>
      </c>
      <c r="AE23" s="13">
        <f t="shared" si="15"/>
        <v>0</v>
      </c>
    </row>
    <row r="24" spans="2:31" x14ac:dyDescent="0.25">
      <c r="B24" s="4"/>
      <c r="E24" s="3"/>
      <c r="F24" s="3"/>
      <c r="G24" s="24"/>
      <c r="H24" s="24"/>
      <c r="K24" s="4"/>
      <c r="L24" s="4"/>
      <c r="M24" s="4"/>
      <c r="N24" s="4"/>
      <c r="O24" s="4"/>
      <c r="P24" s="33"/>
      <c r="Q24" s="25">
        <v>0</v>
      </c>
      <c r="R24" s="25">
        <v>0</v>
      </c>
      <c r="S24" s="12">
        <f t="shared" si="8"/>
        <v>0</v>
      </c>
      <c r="T24" s="5">
        <v>0</v>
      </c>
      <c r="U24" s="12">
        <f t="shared" si="9"/>
        <v>0</v>
      </c>
      <c r="V24" s="25" t="s">
        <v>10</v>
      </c>
      <c r="W24" s="11">
        <f>IFERROR(VLOOKUP(V24,Curr!$B$2:$C$13,2,FALSE),0)</f>
        <v>10.8</v>
      </c>
      <c r="X24" s="12">
        <f t="shared" si="10"/>
        <v>0</v>
      </c>
      <c r="Y24" s="26">
        <f t="shared" si="11"/>
        <v>0</v>
      </c>
      <c r="Z24" s="12">
        <f t="shared" si="12"/>
        <v>0</v>
      </c>
      <c r="AA24" s="4" t="s">
        <v>10</v>
      </c>
      <c r="AB24" s="11">
        <f>IFERROR(VLOOKUP(AA24,Curr!$B$2:$C$13,2,FALSE),0)</f>
        <v>10.8</v>
      </c>
      <c r="AC24" s="12">
        <f t="shared" si="13"/>
        <v>0</v>
      </c>
      <c r="AD24" s="12">
        <f t="shared" si="14"/>
        <v>0</v>
      </c>
      <c r="AE24" s="13">
        <f t="shared" si="15"/>
        <v>0</v>
      </c>
    </row>
    <row r="25" spans="2:31" x14ac:dyDescent="0.25">
      <c r="B25" s="4"/>
      <c r="E25" s="3"/>
      <c r="F25" s="3"/>
      <c r="G25" s="24"/>
      <c r="H25" s="24"/>
      <c r="K25" s="4"/>
      <c r="L25" s="4"/>
      <c r="M25" s="4"/>
      <c r="N25" s="4"/>
      <c r="O25" s="4"/>
      <c r="P25" s="33"/>
      <c r="Q25" s="25">
        <v>0</v>
      </c>
      <c r="R25" s="25">
        <v>0</v>
      </c>
      <c r="S25" s="12">
        <f t="shared" si="8"/>
        <v>0</v>
      </c>
      <c r="T25" s="5">
        <v>0</v>
      </c>
      <c r="U25" s="12">
        <f t="shared" si="9"/>
        <v>0</v>
      </c>
      <c r="V25" s="25" t="s">
        <v>10</v>
      </c>
      <c r="W25" s="11">
        <f>IFERROR(VLOOKUP(V25,Curr!$B$2:$C$13,2,FALSE),0)</f>
        <v>10.8</v>
      </c>
      <c r="X25" s="12">
        <f t="shared" si="10"/>
        <v>0</v>
      </c>
      <c r="Y25" s="26">
        <f t="shared" si="11"/>
        <v>0</v>
      </c>
      <c r="Z25" s="12">
        <f t="shared" si="12"/>
        <v>0</v>
      </c>
      <c r="AA25" s="4" t="s">
        <v>10</v>
      </c>
      <c r="AB25" s="11">
        <f>IFERROR(VLOOKUP(AA25,Curr!$B$2:$C$13,2,FALSE),0)</f>
        <v>10.8</v>
      </c>
      <c r="AC25" s="12">
        <f t="shared" si="13"/>
        <v>0</v>
      </c>
      <c r="AD25" s="12">
        <f t="shared" si="14"/>
        <v>0</v>
      </c>
      <c r="AE25" s="13">
        <f t="shared" si="15"/>
        <v>0</v>
      </c>
    </row>
    <row r="26" spans="2:31" x14ac:dyDescent="0.25">
      <c r="B26" s="4"/>
      <c r="E26" s="3"/>
      <c r="F26" s="3"/>
      <c r="G26" s="24"/>
      <c r="H26" s="24"/>
      <c r="K26" s="4"/>
      <c r="L26" s="4"/>
      <c r="M26" s="4"/>
      <c r="N26" s="4"/>
      <c r="O26" s="4"/>
      <c r="P26" s="33"/>
      <c r="Q26" s="25">
        <v>0</v>
      </c>
      <c r="R26" s="25">
        <v>0</v>
      </c>
      <c r="S26" s="12">
        <f t="shared" si="8"/>
        <v>0</v>
      </c>
      <c r="T26" s="5">
        <v>0</v>
      </c>
      <c r="U26" s="12">
        <f t="shared" si="9"/>
        <v>0</v>
      </c>
      <c r="V26" s="25" t="s">
        <v>10</v>
      </c>
      <c r="W26" s="11">
        <f>IFERROR(VLOOKUP(V26,Curr!$B$2:$C$13,2,FALSE),0)</f>
        <v>10.8</v>
      </c>
      <c r="X26" s="12">
        <f t="shared" si="10"/>
        <v>0</v>
      </c>
      <c r="Y26" s="26">
        <f t="shared" si="11"/>
        <v>0</v>
      </c>
      <c r="Z26" s="12">
        <f t="shared" si="12"/>
        <v>0</v>
      </c>
      <c r="AA26" s="4" t="s">
        <v>10</v>
      </c>
      <c r="AB26" s="11">
        <f>IFERROR(VLOOKUP(AA26,Curr!$B$2:$C$13,2,FALSE),0)</f>
        <v>10.8</v>
      </c>
      <c r="AC26" s="12">
        <f t="shared" si="13"/>
        <v>0</v>
      </c>
      <c r="AD26" s="12">
        <f t="shared" si="14"/>
        <v>0</v>
      </c>
      <c r="AE26" s="13">
        <f t="shared" si="15"/>
        <v>0</v>
      </c>
    </row>
    <row r="27" spans="2:31" x14ac:dyDescent="0.25">
      <c r="B27" s="4"/>
      <c r="E27" s="3"/>
      <c r="F27" s="3"/>
      <c r="G27" s="24"/>
      <c r="H27" s="24"/>
      <c r="K27" s="4"/>
      <c r="L27" s="4"/>
      <c r="M27" s="4"/>
      <c r="N27" s="4"/>
      <c r="O27" s="4"/>
      <c r="P27" s="33"/>
      <c r="Q27" s="25">
        <v>0</v>
      </c>
      <c r="R27" s="25">
        <v>0</v>
      </c>
      <c r="S27" s="12">
        <f t="shared" si="8"/>
        <v>0</v>
      </c>
      <c r="T27" s="5">
        <v>0</v>
      </c>
      <c r="U27" s="12">
        <f t="shared" si="9"/>
        <v>0</v>
      </c>
      <c r="V27" s="25" t="s">
        <v>10</v>
      </c>
      <c r="W27" s="11">
        <f>IFERROR(VLOOKUP(V27,Curr!$B$2:$C$13,2,FALSE),0)</f>
        <v>10.8</v>
      </c>
      <c r="X27" s="12">
        <f t="shared" si="10"/>
        <v>0</v>
      </c>
      <c r="Y27" s="26">
        <f t="shared" si="11"/>
        <v>0</v>
      </c>
      <c r="Z27" s="12">
        <f t="shared" si="12"/>
        <v>0</v>
      </c>
      <c r="AA27" s="4" t="s">
        <v>10</v>
      </c>
      <c r="AB27" s="11">
        <f>IFERROR(VLOOKUP(AA27,Curr!$B$2:$C$13,2,FALSE),0)</f>
        <v>10.8</v>
      </c>
      <c r="AC27" s="12">
        <f t="shared" si="13"/>
        <v>0</v>
      </c>
      <c r="AD27" s="12">
        <f t="shared" si="14"/>
        <v>0</v>
      </c>
      <c r="AE27" s="13">
        <f t="shared" si="15"/>
        <v>0</v>
      </c>
    </row>
    <row r="28" spans="2:31" x14ac:dyDescent="0.25">
      <c r="B28" s="4"/>
      <c r="E28" s="3"/>
      <c r="F28" s="3"/>
      <c r="G28" s="24"/>
      <c r="H28" s="24"/>
      <c r="K28" s="4"/>
      <c r="L28" s="4"/>
      <c r="M28" s="4"/>
      <c r="N28" s="4"/>
      <c r="O28" s="4"/>
      <c r="P28" s="33"/>
      <c r="Q28" s="25">
        <v>0</v>
      </c>
      <c r="R28" s="25">
        <v>0</v>
      </c>
      <c r="S28" s="12">
        <f t="shared" si="8"/>
        <v>0</v>
      </c>
      <c r="T28" s="5">
        <v>0</v>
      </c>
      <c r="U28" s="12">
        <f t="shared" si="9"/>
        <v>0</v>
      </c>
      <c r="V28" s="25" t="s">
        <v>10</v>
      </c>
      <c r="W28" s="11">
        <f>IFERROR(VLOOKUP(V28,Curr!$B$2:$C$13,2,FALSE),0)</f>
        <v>10.8</v>
      </c>
      <c r="X28" s="12">
        <f t="shared" si="10"/>
        <v>0</v>
      </c>
      <c r="Y28" s="26">
        <f t="shared" si="11"/>
        <v>0</v>
      </c>
      <c r="Z28" s="12">
        <f t="shared" si="12"/>
        <v>0</v>
      </c>
      <c r="AA28" s="4" t="s">
        <v>10</v>
      </c>
      <c r="AB28" s="11">
        <f>IFERROR(VLOOKUP(AA28,Curr!$B$2:$C$13,2,FALSE),0)</f>
        <v>10.8</v>
      </c>
      <c r="AC28" s="12">
        <f t="shared" si="13"/>
        <v>0</v>
      </c>
      <c r="AD28" s="12">
        <f t="shared" si="14"/>
        <v>0</v>
      </c>
      <c r="AE28" s="13">
        <f t="shared" si="15"/>
        <v>0</v>
      </c>
    </row>
    <row r="29" spans="2:31" x14ac:dyDescent="0.25">
      <c r="B29" s="4"/>
      <c r="E29" s="3"/>
      <c r="F29" s="3"/>
      <c r="G29" s="24"/>
      <c r="H29" s="24"/>
      <c r="K29" s="4"/>
      <c r="L29" s="4"/>
      <c r="M29" s="4"/>
      <c r="N29" s="4"/>
      <c r="O29" s="4"/>
      <c r="P29" s="33"/>
      <c r="Q29" s="25">
        <v>0</v>
      </c>
      <c r="R29" s="25">
        <v>0</v>
      </c>
      <c r="S29" s="12">
        <f t="shared" si="8"/>
        <v>0</v>
      </c>
      <c r="T29" s="5">
        <v>0</v>
      </c>
      <c r="U29" s="12">
        <f t="shared" si="9"/>
        <v>0</v>
      </c>
      <c r="V29" s="25" t="s">
        <v>10</v>
      </c>
      <c r="W29" s="11">
        <f>IFERROR(VLOOKUP(V29,Curr!$B$2:$C$13,2,FALSE),0)</f>
        <v>10.8</v>
      </c>
      <c r="X29" s="12">
        <f t="shared" si="10"/>
        <v>0</v>
      </c>
      <c r="Y29" s="26">
        <f t="shared" si="11"/>
        <v>0</v>
      </c>
      <c r="Z29" s="12">
        <f t="shared" si="12"/>
        <v>0</v>
      </c>
      <c r="AA29" s="4" t="s">
        <v>10</v>
      </c>
      <c r="AB29" s="11">
        <f>IFERROR(VLOOKUP(AA29,Curr!$B$2:$C$13,2,FALSE),0)</f>
        <v>10.8</v>
      </c>
      <c r="AC29" s="12">
        <f t="shared" si="13"/>
        <v>0</v>
      </c>
      <c r="AD29" s="12">
        <f t="shared" si="14"/>
        <v>0</v>
      </c>
      <c r="AE29" s="13">
        <f t="shared" si="15"/>
        <v>0</v>
      </c>
    </row>
    <row r="30" spans="2:31" x14ac:dyDescent="0.25">
      <c r="B30" s="4"/>
      <c r="E30" s="3"/>
      <c r="F30" s="3"/>
      <c r="G30" s="24"/>
      <c r="H30" s="24"/>
      <c r="K30" s="4"/>
      <c r="L30" s="4"/>
      <c r="M30" s="4"/>
      <c r="N30" s="4"/>
      <c r="O30" s="4"/>
      <c r="P30" s="33"/>
      <c r="Q30" s="25">
        <v>0</v>
      </c>
      <c r="R30" s="25">
        <v>0</v>
      </c>
      <c r="S30" s="12">
        <f t="shared" si="8"/>
        <v>0</v>
      </c>
      <c r="T30" s="5">
        <v>0</v>
      </c>
      <c r="U30" s="12">
        <f t="shared" si="9"/>
        <v>0</v>
      </c>
      <c r="V30" s="25" t="s">
        <v>10</v>
      </c>
      <c r="W30" s="11">
        <f>IFERROR(VLOOKUP(V30,Curr!$B$2:$C$13,2,FALSE),0)</f>
        <v>10.8</v>
      </c>
      <c r="X30" s="12">
        <f t="shared" si="10"/>
        <v>0</v>
      </c>
      <c r="Y30" s="26">
        <f t="shared" si="11"/>
        <v>0</v>
      </c>
      <c r="Z30" s="12">
        <f t="shared" si="12"/>
        <v>0</v>
      </c>
      <c r="AA30" s="4" t="s">
        <v>10</v>
      </c>
      <c r="AB30" s="11">
        <f>IFERROR(VLOOKUP(AA30,Curr!$B$2:$C$13,2,FALSE),0)</f>
        <v>10.8</v>
      </c>
      <c r="AC30" s="12">
        <f t="shared" si="13"/>
        <v>0</v>
      </c>
      <c r="AD30" s="12">
        <f t="shared" si="14"/>
        <v>0</v>
      </c>
      <c r="AE30" s="13">
        <f t="shared" si="15"/>
        <v>0</v>
      </c>
    </row>
    <row r="31" spans="2:31" x14ac:dyDescent="0.25">
      <c r="B31" s="4"/>
      <c r="E31" s="3"/>
      <c r="F31" s="3"/>
      <c r="G31" s="24"/>
      <c r="H31" s="24"/>
      <c r="K31" s="4"/>
      <c r="L31" s="4"/>
      <c r="M31" s="4"/>
      <c r="N31" s="4"/>
      <c r="O31" s="4"/>
      <c r="P31" s="33"/>
      <c r="Q31" s="25">
        <v>0</v>
      </c>
      <c r="R31" s="25">
        <v>0</v>
      </c>
      <c r="S31" s="12">
        <f t="shared" si="8"/>
        <v>0</v>
      </c>
      <c r="T31" s="5">
        <v>0</v>
      </c>
      <c r="U31" s="12">
        <f t="shared" si="9"/>
        <v>0</v>
      </c>
      <c r="V31" s="25" t="s">
        <v>10</v>
      </c>
      <c r="W31" s="11">
        <f>IFERROR(VLOOKUP(V31,Curr!$B$2:$C$13,2,FALSE),0)</f>
        <v>10.8</v>
      </c>
      <c r="X31" s="12">
        <f t="shared" si="10"/>
        <v>0</v>
      </c>
      <c r="Y31" s="26">
        <f t="shared" si="11"/>
        <v>0</v>
      </c>
      <c r="Z31" s="12">
        <f t="shared" si="12"/>
        <v>0</v>
      </c>
      <c r="AA31" s="4" t="s">
        <v>10</v>
      </c>
      <c r="AB31" s="11">
        <f>IFERROR(VLOOKUP(AA31,Curr!$B$2:$C$13,2,FALSE),0)</f>
        <v>10.8</v>
      </c>
      <c r="AC31" s="12">
        <f t="shared" si="13"/>
        <v>0</v>
      </c>
      <c r="AD31" s="12">
        <f t="shared" si="14"/>
        <v>0</v>
      </c>
      <c r="AE31" s="13">
        <f t="shared" si="15"/>
        <v>0</v>
      </c>
    </row>
    <row r="32" spans="2:31" x14ac:dyDescent="0.25">
      <c r="B32" s="4"/>
      <c r="E32" s="3"/>
      <c r="F32" s="3"/>
      <c r="G32" s="24"/>
      <c r="H32" s="24"/>
      <c r="K32" s="4"/>
      <c r="L32" s="4"/>
      <c r="M32" s="4"/>
      <c r="N32" s="4"/>
      <c r="O32" s="4"/>
      <c r="P32" s="33"/>
      <c r="Q32" s="25">
        <v>0</v>
      </c>
      <c r="R32" s="25">
        <v>0</v>
      </c>
      <c r="S32" s="12">
        <f t="shared" si="8"/>
        <v>0</v>
      </c>
      <c r="T32" s="5">
        <v>0</v>
      </c>
      <c r="U32" s="12">
        <f t="shared" si="9"/>
        <v>0</v>
      </c>
      <c r="V32" s="25" t="s">
        <v>10</v>
      </c>
      <c r="W32" s="11">
        <f>IFERROR(VLOOKUP(V32,Curr!$B$2:$C$13,2,FALSE),0)</f>
        <v>10.8</v>
      </c>
      <c r="X32" s="12">
        <f t="shared" si="10"/>
        <v>0</v>
      </c>
      <c r="Y32" s="26">
        <f t="shared" si="11"/>
        <v>0</v>
      </c>
      <c r="Z32" s="12">
        <f t="shared" si="12"/>
        <v>0</v>
      </c>
      <c r="AA32" s="4" t="s">
        <v>10</v>
      </c>
      <c r="AB32" s="11">
        <f>IFERROR(VLOOKUP(AA32,Curr!$B$2:$C$13,2,FALSE),0)</f>
        <v>10.8</v>
      </c>
      <c r="AC32" s="12">
        <f t="shared" si="13"/>
        <v>0</v>
      </c>
      <c r="AD32" s="12">
        <f t="shared" si="14"/>
        <v>0</v>
      </c>
      <c r="AE32" s="13">
        <f t="shared" si="15"/>
        <v>0</v>
      </c>
    </row>
    <row r="33" spans="2:31" x14ac:dyDescent="0.25">
      <c r="B33" s="4"/>
      <c r="E33" s="3"/>
      <c r="F33" s="3"/>
      <c r="G33" s="24"/>
      <c r="H33" s="24"/>
      <c r="K33" s="4"/>
      <c r="L33" s="4"/>
      <c r="M33" s="4"/>
      <c r="N33" s="4"/>
      <c r="O33" s="4"/>
      <c r="P33" s="33"/>
      <c r="Q33" s="25">
        <v>0</v>
      </c>
      <c r="R33" s="25">
        <v>0</v>
      </c>
      <c r="S33" s="12">
        <f t="shared" si="8"/>
        <v>0</v>
      </c>
      <c r="T33" s="5">
        <v>0</v>
      </c>
      <c r="U33" s="12">
        <f t="shared" si="9"/>
        <v>0</v>
      </c>
      <c r="V33" s="25" t="s">
        <v>10</v>
      </c>
      <c r="W33" s="11">
        <f>IFERROR(VLOOKUP(V33,Curr!$B$2:$C$13,2,FALSE),0)</f>
        <v>10.8</v>
      </c>
      <c r="X33" s="12">
        <f t="shared" si="10"/>
        <v>0</v>
      </c>
      <c r="Y33" s="26">
        <f t="shared" si="11"/>
        <v>0</v>
      </c>
      <c r="Z33" s="12">
        <f t="shared" si="12"/>
        <v>0</v>
      </c>
      <c r="AA33" s="4" t="s">
        <v>10</v>
      </c>
      <c r="AB33" s="11">
        <f>IFERROR(VLOOKUP(AA33,Curr!$B$2:$C$13,2,FALSE),0)</f>
        <v>10.8</v>
      </c>
      <c r="AC33" s="12">
        <f t="shared" si="13"/>
        <v>0</v>
      </c>
      <c r="AD33" s="12">
        <f t="shared" si="14"/>
        <v>0</v>
      </c>
      <c r="AE33" s="13">
        <f t="shared" si="15"/>
        <v>0</v>
      </c>
    </row>
    <row r="34" spans="2:31" x14ac:dyDescent="0.25">
      <c r="B34" s="4"/>
      <c r="E34" s="3"/>
      <c r="F34" s="3"/>
      <c r="G34" s="24"/>
      <c r="H34" s="24"/>
      <c r="K34" s="4"/>
      <c r="L34" s="4"/>
      <c r="M34" s="4"/>
      <c r="N34" s="4"/>
      <c r="O34" s="4"/>
      <c r="P34" s="27"/>
      <c r="Q34" s="25">
        <v>0</v>
      </c>
      <c r="R34" s="25">
        <v>0</v>
      </c>
      <c r="S34" s="12">
        <f t="shared" si="8"/>
        <v>0</v>
      </c>
      <c r="T34" s="5">
        <v>0</v>
      </c>
      <c r="U34" s="12">
        <f t="shared" si="9"/>
        <v>0</v>
      </c>
      <c r="V34" s="25" t="s">
        <v>10</v>
      </c>
      <c r="W34" s="11">
        <f>IFERROR(VLOOKUP(V34,Curr!$B$2:$C$13,2,FALSE),0)</f>
        <v>10.8</v>
      </c>
      <c r="X34" s="12">
        <f t="shared" si="10"/>
        <v>0</v>
      </c>
      <c r="Y34" s="26">
        <f t="shared" si="11"/>
        <v>0</v>
      </c>
      <c r="Z34" s="12">
        <f t="shared" si="12"/>
        <v>0</v>
      </c>
      <c r="AA34" s="4" t="s">
        <v>10</v>
      </c>
      <c r="AB34" s="11">
        <f>IFERROR(VLOOKUP(AA34,Curr!$B$2:$C$13,2,FALSE),0)</f>
        <v>10.8</v>
      </c>
      <c r="AC34" s="12">
        <f t="shared" si="13"/>
        <v>0</v>
      </c>
      <c r="AD34" s="12">
        <f t="shared" si="14"/>
        <v>0</v>
      </c>
      <c r="AE34" s="13">
        <f t="shared" si="15"/>
        <v>0</v>
      </c>
    </row>
    <row r="35" spans="2:31" x14ac:dyDescent="0.25">
      <c r="B35" s="4"/>
      <c r="E35" s="3"/>
      <c r="F35" s="3"/>
      <c r="G35" s="24"/>
      <c r="H35" s="24"/>
      <c r="K35" s="4"/>
      <c r="L35" s="4"/>
      <c r="M35" s="4"/>
      <c r="N35" s="4"/>
      <c r="O35" s="4"/>
      <c r="P35" s="33"/>
      <c r="Q35" s="25">
        <v>0</v>
      </c>
      <c r="R35" s="25">
        <v>0</v>
      </c>
      <c r="S35" s="12">
        <f t="shared" si="8"/>
        <v>0</v>
      </c>
      <c r="T35" s="5">
        <v>0</v>
      </c>
      <c r="U35" s="12">
        <f t="shared" si="9"/>
        <v>0</v>
      </c>
      <c r="V35" s="25" t="s">
        <v>10</v>
      </c>
      <c r="W35" s="11">
        <f>IFERROR(VLOOKUP(V35,Curr!$B$2:$C$13,2,FALSE),0)</f>
        <v>10.8</v>
      </c>
      <c r="X35" s="12">
        <f t="shared" si="10"/>
        <v>0</v>
      </c>
      <c r="Y35" s="26">
        <f t="shared" si="11"/>
        <v>0</v>
      </c>
      <c r="Z35" s="12">
        <f t="shared" si="12"/>
        <v>0</v>
      </c>
      <c r="AA35" s="4" t="s">
        <v>10</v>
      </c>
      <c r="AB35" s="11">
        <f>IFERROR(VLOOKUP(AA35,Curr!$B$2:$C$13,2,FALSE),0)</f>
        <v>10.8</v>
      </c>
      <c r="AC35" s="12">
        <f t="shared" si="13"/>
        <v>0</v>
      </c>
      <c r="AD35" s="12">
        <f t="shared" si="14"/>
        <v>0</v>
      </c>
      <c r="AE35" s="13">
        <f t="shared" si="15"/>
        <v>0</v>
      </c>
    </row>
    <row r="36" spans="2:31" x14ac:dyDescent="0.25">
      <c r="B36" s="4"/>
      <c r="E36" s="3"/>
      <c r="F36" s="3"/>
      <c r="G36" s="24"/>
      <c r="H36" s="24"/>
      <c r="K36" s="4"/>
      <c r="L36" s="4"/>
      <c r="M36" s="4"/>
      <c r="N36" s="4"/>
      <c r="O36" s="4"/>
      <c r="P36" s="33"/>
      <c r="Q36" s="25">
        <v>0</v>
      </c>
      <c r="R36" s="25">
        <v>0</v>
      </c>
      <c r="S36" s="12">
        <f t="shared" si="8"/>
        <v>0</v>
      </c>
      <c r="T36" s="5">
        <v>0</v>
      </c>
      <c r="U36" s="12">
        <f t="shared" si="9"/>
        <v>0</v>
      </c>
      <c r="V36" s="25" t="s">
        <v>10</v>
      </c>
      <c r="W36" s="11">
        <f>IFERROR(VLOOKUP(V36,Curr!$B$2:$C$13,2,FALSE),0)</f>
        <v>10.8</v>
      </c>
      <c r="X36" s="12">
        <f t="shared" si="10"/>
        <v>0</v>
      </c>
      <c r="Y36" s="26">
        <f t="shared" si="11"/>
        <v>0</v>
      </c>
      <c r="Z36" s="12">
        <f t="shared" si="12"/>
        <v>0</v>
      </c>
      <c r="AA36" s="4" t="s">
        <v>10</v>
      </c>
      <c r="AB36" s="11">
        <f>IFERROR(VLOOKUP(AA36,Curr!$B$2:$C$13,2,FALSE),0)</f>
        <v>10.8</v>
      </c>
      <c r="AC36" s="12">
        <f t="shared" si="13"/>
        <v>0</v>
      </c>
      <c r="AD36" s="12">
        <f t="shared" si="14"/>
        <v>0</v>
      </c>
      <c r="AE36" s="13">
        <f t="shared" si="15"/>
        <v>0</v>
      </c>
    </row>
    <row r="37" spans="2:31" x14ac:dyDescent="0.25">
      <c r="B37" s="4"/>
      <c r="E37" s="3"/>
      <c r="F37" s="3"/>
      <c r="G37" s="24"/>
      <c r="H37" s="24"/>
      <c r="K37" s="4"/>
      <c r="L37" s="4"/>
      <c r="M37" s="4"/>
      <c r="N37" s="4"/>
      <c r="O37" s="4"/>
      <c r="P37" s="27"/>
      <c r="Q37" s="25">
        <v>0</v>
      </c>
      <c r="R37" s="25">
        <v>0</v>
      </c>
      <c r="S37" s="12">
        <f t="shared" si="8"/>
        <v>0</v>
      </c>
      <c r="T37" s="5">
        <v>0</v>
      </c>
      <c r="U37" s="12">
        <f t="shared" si="9"/>
        <v>0</v>
      </c>
      <c r="V37" s="25" t="s">
        <v>10</v>
      </c>
      <c r="W37" s="11">
        <f>IFERROR(VLOOKUP(V37,Curr!$B$2:$C$13,2,FALSE),0)</f>
        <v>10.8</v>
      </c>
      <c r="X37" s="12">
        <f t="shared" si="10"/>
        <v>0</v>
      </c>
      <c r="Y37" s="26">
        <f t="shared" si="11"/>
        <v>0</v>
      </c>
      <c r="Z37" s="12">
        <f t="shared" si="12"/>
        <v>0</v>
      </c>
      <c r="AA37" s="4" t="s">
        <v>10</v>
      </c>
      <c r="AB37" s="11">
        <f>IFERROR(VLOOKUP(AA37,Curr!$B$2:$C$13,2,FALSE),0)</f>
        <v>10.8</v>
      </c>
      <c r="AC37" s="12">
        <f t="shared" si="13"/>
        <v>0</v>
      </c>
      <c r="AD37" s="12">
        <f t="shared" si="14"/>
        <v>0</v>
      </c>
      <c r="AE37" s="13">
        <f t="shared" si="15"/>
        <v>0</v>
      </c>
    </row>
    <row r="38" spans="2:31" x14ac:dyDescent="0.25">
      <c r="B38" s="4"/>
      <c r="E38" s="3"/>
      <c r="F38" s="3"/>
      <c r="G38" s="24"/>
      <c r="H38" s="24"/>
      <c r="K38" s="4"/>
      <c r="L38" s="4"/>
      <c r="M38" s="4"/>
      <c r="N38" s="4"/>
      <c r="O38" s="4"/>
      <c r="P38" s="33"/>
      <c r="Q38" s="25">
        <v>0</v>
      </c>
      <c r="R38" s="25">
        <v>0</v>
      </c>
      <c r="S38" s="12">
        <f t="shared" si="8"/>
        <v>0</v>
      </c>
      <c r="T38" s="5">
        <v>0</v>
      </c>
      <c r="U38" s="12">
        <f t="shared" si="9"/>
        <v>0</v>
      </c>
      <c r="V38" s="25" t="s">
        <v>10</v>
      </c>
      <c r="W38" s="11">
        <f>IFERROR(VLOOKUP(V38,Curr!$B$2:$C$13,2,FALSE),0)</f>
        <v>10.8</v>
      </c>
      <c r="X38" s="12">
        <f t="shared" si="10"/>
        <v>0</v>
      </c>
      <c r="Y38" s="26">
        <f t="shared" si="11"/>
        <v>0</v>
      </c>
      <c r="Z38" s="12">
        <f t="shared" si="12"/>
        <v>0</v>
      </c>
      <c r="AA38" s="4" t="s">
        <v>10</v>
      </c>
      <c r="AB38" s="11">
        <f>IFERROR(VLOOKUP(AA38,Curr!$B$2:$C$13,2,FALSE),0)</f>
        <v>10.8</v>
      </c>
      <c r="AC38" s="12">
        <f t="shared" si="13"/>
        <v>0</v>
      </c>
      <c r="AD38" s="12">
        <f t="shared" si="14"/>
        <v>0</v>
      </c>
      <c r="AE38" s="13">
        <f t="shared" si="15"/>
        <v>0</v>
      </c>
    </row>
    <row r="39" spans="2:31" x14ac:dyDescent="0.25">
      <c r="B39" s="4"/>
      <c r="E39" s="3"/>
      <c r="F39" s="3"/>
      <c r="G39" s="24"/>
      <c r="H39" s="24"/>
      <c r="K39" s="4"/>
      <c r="L39" s="4"/>
      <c r="M39" s="4"/>
      <c r="N39" s="4"/>
      <c r="O39" s="4"/>
      <c r="P39" s="33"/>
      <c r="Q39" s="25">
        <v>0</v>
      </c>
      <c r="R39" s="25">
        <v>0</v>
      </c>
      <c r="S39" s="12">
        <f t="shared" si="8"/>
        <v>0</v>
      </c>
      <c r="T39" s="5">
        <v>0</v>
      </c>
      <c r="U39" s="12">
        <f t="shared" si="9"/>
        <v>0</v>
      </c>
      <c r="V39" s="25" t="s">
        <v>10</v>
      </c>
      <c r="W39" s="11">
        <f>IFERROR(VLOOKUP(V39,Curr!$B$2:$C$13,2,FALSE),0)</f>
        <v>10.8</v>
      </c>
      <c r="X39" s="12">
        <f t="shared" si="10"/>
        <v>0</v>
      </c>
      <c r="Y39" s="26">
        <f t="shared" si="11"/>
        <v>0</v>
      </c>
      <c r="Z39" s="12">
        <f t="shared" si="12"/>
        <v>0</v>
      </c>
      <c r="AA39" s="4" t="s">
        <v>10</v>
      </c>
      <c r="AB39" s="11">
        <f>IFERROR(VLOOKUP(AA39,Curr!$B$2:$C$13,2,FALSE),0)</f>
        <v>10.8</v>
      </c>
      <c r="AC39" s="12">
        <f t="shared" si="13"/>
        <v>0</v>
      </c>
      <c r="AD39" s="12">
        <f t="shared" si="14"/>
        <v>0</v>
      </c>
      <c r="AE39" s="13">
        <f t="shared" si="15"/>
        <v>0</v>
      </c>
    </row>
    <row r="40" spans="2:31" x14ac:dyDescent="0.25">
      <c r="B40" s="4"/>
      <c r="E40" s="3"/>
      <c r="F40" s="3"/>
      <c r="G40" s="24"/>
      <c r="H40" s="24"/>
      <c r="K40" s="4"/>
      <c r="L40" s="4"/>
      <c r="M40" s="4"/>
      <c r="N40" s="4"/>
      <c r="O40" s="4"/>
      <c r="P40" s="29"/>
      <c r="Q40" s="25">
        <v>0</v>
      </c>
      <c r="R40" s="25">
        <v>0</v>
      </c>
      <c r="S40" s="12">
        <f t="shared" si="8"/>
        <v>0</v>
      </c>
      <c r="T40" s="5">
        <v>0</v>
      </c>
      <c r="U40" s="12">
        <f t="shared" si="9"/>
        <v>0</v>
      </c>
      <c r="V40" s="25" t="s">
        <v>10</v>
      </c>
      <c r="W40" s="11">
        <f>IFERROR(VLOOKUP(V40,Curr!$B$2:$C$13,2,FALSE),0)</f>
        <v>10.8</v>
      </c>
      <c r="X40" s="12">
        <f t="shared" si="10"/>
        <v>0</v>
      </c>
      <c r="Y40" s="26">
        <f t="shared" si="11"/>
        <v>0</v>
      </c>
      <c r="Z40" s="12">
        <f t="shared" si="12"/>
        <v>0</v>
      </c>
      <c r="AA40" s="4" t="s">
        <v>10</v>
      </c>
      <c r="AB40" s="11">
        <f>IFERROR(VLOOKUP(AA40,Curr!$B$2:$C$13,2,FALSE),0)</f>
        <v>10.8</v>
      </c>
      <c r="AC40" s="12">
        <f t="shared" si="13"/>
        <v>0</v>
      </c>
      <c r="AD40" s="12">
        <f t="shared" si="14"/>
        <v>0</v>
      </c>
      <c r="AE40" s="13">
        <f t="shared" si="15"/>
        <v>0</v>
      </c>
    </row>
    <row r="41" spans="2:31" x14ac:dyDescent="0.25">
      <c r="B41" s="4"/>
      <c r="E41" s="3"/>
      <c r="F41" s="3"/>
      <c r="G41" s="24"/>
      <c r="H41" s="24"/>
      <c r="K41" s="4"/>
      <c r="L41" s="4"/>
      <c r="M41" s="4"/>
      <c r="N41" s="4"/>
      <c r="O41" s="4"/>
      <c r="P41" s="33"/>
      <c r="Q41" s="25">
        <v>0</v>
      </c>
      <c r="R41" s="25">
        <v>0</v>
      </c>
      <c r="S41" s="12">
        <f t="shared" si="8"/>
        <v>0</v>
      </c>
      <c r="T41" s="5">
        <v>0</v>
      </c>
      <c r="U41" s="12">
        <f t="shared" si="9"/>
        <v>0</v>
      </c>
      <c r="V41" s="25" t="s">
        <v>10</v>
      </c>
      <c r="W41" s="11">
        <f>IFERROR(VLOOKUP(V41,Curr!$B$2:$C$13,2,FALSE),0)</f>
        <v>10.8</v>
      </c>
      <c r="X41" s="12">
        <f t="shared" si="10"/>
        <v>0</v>
      </c>
      <c r="Y41" s="26">
        <f t="shared" si="11"/>
        <v>0</v>
      </c>
      <c r="Z41" s="12">
        <f t="shared" si="12"/>
        <v>0</v>
      </c>
      <c r="AA41" s="4" t="s">
        <v>10</v>
      </c>
      <c r="AB41" s="11">
        <f>IFERROR(VLOOKUP(AA41,Curr!$B$2:$C$13,2,FALSE),0)</f>
        <v>10.8</v>
      </c>
      <c r="AC41" s="12">
        <f t="shared" si="13"/>
        <v>0</v>
      </c>
      <c r="AD41" s="12">
        <f t="shared" si="14"/>
        <v>0</v>
      </c>
      <c r="AE41" s="13">
        <f t="shared" si="15"/>
        <v>0</v>
      </c>
    </row>
    <row r="42" spans="2:31" x14ac:dyDescent="0.25">
      <c r="B42" s="4"/>
      <c r="E42" s="3"/>
      <c r="F42" s="3"/>
      <c r="G42" s="24"/>
      <c r="H42" s="24"/>
      <c r="K42" s="4"/>
      <c r="L42" s="4"/>
      <c r="M42" s="4"/>
      <c r="N42" s="4"/>
      <c r="O42" s="4"/>
      <c r="P42" s="33"/>
      <c r="Q42" s="25">
        <v>0</v>
      </c>
      <c r="R42" s="25">
        <v>0</v>
      </c>
      <c r="S42" s="12">
        <f t="shared" si="8"/>
        <v>0</v>
      </c>
      <c r="T42" s="5">
        <v>0</v>
      </c>
      <c r="U42" s="12">
        <f t="shared" si="9"/>
        <v>0</v>
      </c>
      <c r="V42" s="25" t="s">
        <v>10</v>
      </c>
      <c r="W42" s="11">
        <f>IFERROR(VLOOKUP(V42,Curr!$B$2:$C$13,2,FALSE),0)</f>
        <v>10.8</v>
      </c>
      <c r="X42" s="12">
        <f t="shared" si="10"/>
        <v>0</v>
      </c>
      <c r="Y42" s="26">
        <f t="shared" si="11"/>
        <v>0</v>
      </c>
      <c r="Z42" s="12">
        <f t="shared" si="12"/>
        <v>0</v>
      </c>
      <c r="AA42" s="4" t="s">
        <v>10</v>
      </c>
      <c r="AB42" s="11">
        <f>IFERROR(VLOOKUP(AA42,Curr!$B$2:$C$13,2,FALSE),0)</f>
        <v>10.8</v>
      </c>
      <c r="AC42" s="12">
        <f t="shared" si="13"/>
        <v>0</v>
      </c>
      <c r="AD42" s="12">
        <f t="shared" si="14"/>
        <v>0</v>
      </c>
      <c r="AE42" s="13">
        <f t="shared" si="15"/>
        <v>0</v>
      </c>
    </row>
    <row r="43" spans="2:31" x14ac:dyDescent="0.25">
      <c r="B43" s="4"/>
      <c r="E43" s="3"/>
      <c r="F43" s="3"/>
      <c r="G43" s="24"/>
      <c r="H43" s="24"/>
      <c r="K43" s="4"/>
      <c r="L43" s="4"/>
      <c r="M43" s="4"/>
      <c r="N43" s="4"/>
      <c r="O43" s="4"/>
      <c r="P43" s="33"/>
      <c r="Q43" s="25">
        <v>0</v>
      </c>
      <c r="R43" s="25">
        <v>0</v>
      </c>
      <c r="S43" s="12">
        <f t="shared" si="8"/>
        <v>0</v>
      </c>
      <c r="T43" s="5">
        <v>0</v>
      </c>
      <c r="U43" s="12">
        <f t="shared" si="9"/>
        <v>0</v>
      </c>
      <c r="V43" s="25" t="s">
        <v>10</v>
      </c>
      <c r="W43" s="11">
        <f>IFERROR(VLOOKUP(V43,Curr!$B$2:$C$13,2,FALSE),0)</f>
        <v>10.8</v>
      </c>
      <c r="X43" s="12">
        <f t="shared" si="10"/>
        <v>0</v>
      </c>
      <c r="Y43" s="26">
        <f t="shared" si="11"/>
        <v>0</v>
      </c>
      <c r="Z43" s="12">
        <f t="shared" si="12"/>
        <v>0</v>
      </c>
      <c r="AA43" s="4" t="s">
        <v>10</v>
      </c>
      <c r="AB43" s="11">
        <f>IFERROR(VLOOKUP(AA43,Curr!$B$2:$C$13,2,FALSE),0)</f>
        <v>10.8</v>
      </c>
      <c r="AC43" s="12">
        <f t="shared" si="13"/>
        <v>0</v>
      </c>
      <c r="AD43" s="12">
        <f t="shared" si="14"/>
        <v>0</v>
      </c>
      <c r="AE43" s="13">
        <f t="shared" si="15"/>
        <v>0</v>
      </c>
    </row>
    <row r="44" spans="2:31" x14ac:dyDescent="0.25">
      <c r="B44" s="4"/>
      <c r="E44" s="3"/>
      <c r="F44" s="3"/>
      <c r="G44" s="24"/>
      <c r="H44" s="24"/>
      <c r="K44" s="4"/>
      <c r="L44" s="4"/>
      <c r="M44" s="4"/>
      <c r="N44" s="4"/>
      <c r="O44" s="4"/>
      <c r="P44" s="33"/>
      <c r="Q44" s="25">
        <v>0</v>
      </c>
      <c r="R44" s="25">
        <v>0</v>
      </c>
      <c r="S44" s="12">
        <f t="shared" si="8"/>
        <v>0</v>
      </c>
      <c r="T44" s="5">
        <v>0</v>
      </c>
      <c r="U44" s="12">
        <f t="shared" si="9"/>
        <v>0</v>
      </c>
      <c r="V44" s="25" t="s">
        <v>10</v>
      </c>
      <c r="W44" s="11">
        <f>IFERROR(VLOOKUP(V44,Curr!$B$2:$C$13,2,FALSE),0)</f>
        <v>10.8</v>
      </c>
      <c r="X44" s="12">
        <f t="shared" si="10"/>
        <v>0</v>
      </c>
      <c r="Y44" s="26">
        <f t="shared" si="11"/>
        <v>0</v>
      </c>
      <c r="Z44" s="12">
        <f t="shared" si="12"/>
        <v>0</v>
      </c>
      <c r="AA44" s="4" t="s">
        <v>10</v>
      </c>
      <c r="AB44" s="11">
        <f>IFERROR(VLOOKUP(AA44,Curr!$B$2:$C$13,2,FALSE),0)</f>
        <v>10.8</v>
      </c>
      <c r="AC44" s="12">
        <f t="shared" si="13"/>
        <v>0</v>
      </c>
      <c r="AD44" s="12">
        <f t="shared" si="14"/>
        <v>0</v>
      </c>
      <c r="AE44" s="13">
        <f t="shared" si="15"/>
        <v>0</v>
      </c>
    </row>
    <row r="45" spans="2:31" x14ac:dyDescent="0.25">
      <c r="B45" s="4"/>
      <c r="E45" s="3"/>
      <c r="F45" s="3"/>
      <c r="G45" s="24"/>
      <c r="H45" s="24"/>
      <c r="K45" s="4"/>
      <c r="L45" s="4"/>
      <c r="M45" s="4"/>
      <c r="N45" s="4"/>
      <c r="O45" s="4"/>
      <c r="P45" s="33"/>
      <c r="Q45" s="25">
        <v>0</v>
      </c>
      <c r="R45" s="25">
        <v>0</v>
      </c>
      <c r="S45" s="12">
        <f t="shared" si="8"/>
        <v>0</v>
      </c>
      <c r="T45" s="5">
        <v>0</v>
      </c>
      <c r="U45" s="12">
        <f t="shared" si="9"/>
        <v>0</v>
      </c>
      <c r="V45" s="25" t="s">
        <v>10</v>
      </c>
      <c r="W45" s="11">
        <f>IFERROR(VLOOKUP(V45,Curr!$B$2:$C$13,2,FALSE),0)</f>
        <v>10.8</v>
      </c>
      <c r="X45" s="12">
        <f t="shared" si="10"/>
        <v>0</v>
      </c>
      <c r="Y45" s="26">
        <f t="shared" si="11"/>
        <v>0</v>
      </c>
      <c r="Z45" s="12">
        <f t="shared" si="12"/>
        <v>0</v>
      </c>
      <c r="AA45" s="4" t="s">
        <v>10</v>
      </c>
      <c r="AB45" s="11">
        <f>IFERROR(VLOOKUP(AA45,Curr!$B$2:$C$13,2,FALSE),0)</f>
        <v>10.8</v>
      </c>
      <c r="AC45" s="12">
        <f t="shared" si="13"/>
        <v>0</v>
      </c>
      <c r="AD45" s="12">
        <f t="shared" si="14"/>
        <v>0</v>
      </c>
      <c r="AE45" s="13">
        <f t="shared" si="15"/>
        <v>0</v>
      </c>
    </row>
    <row r="46" spans="2:31" x14ac:dyDescent="0.25">
      <c r="B46" s="4"/>
      <c r="E46" s="3"/>
      <c r="F46" s="3"/>
      <c r="G46" s="24"/>
      <c r="H46" s="24"/>
      <c r="K46" s="4"/>
      <c r="L46" s="4"/>
      <c r="M46" s="4"/>
      <c r="N46" s="4"/>
      <c r="O46" s="4"/>
      <c r="P46" s="33"/>
      <c r="Q46" s="25">
        <v>0</v>
      </c>
      <c r="R46" s="25">
        <v>0</v>
      </c>
      <c r="S46" s="12">
        <f t="shared" si="8"/>
        <v>0</v>
      </c>
      <c r="T46" s="5">
        <v>0</v>
      </c>
      <c r="U46" s="12">
        <f t="shared" si="9"/>
        <v>0</v>
      </c>
      <c r="V46" s="25" t="s">
        <v>10</v>
      </c>
      <c r="W46" s="11">
        <f>IFERROR(VLOOKUP(V46,Curr!$B$2:$C$13,2,FALSE),0)</f>
        <v>10.8</v>
      </c>
      <c r="X46" s="12">
        <f t="shared" si="10"/>
        <v>0</v>
      </c>
      <c r="Y46" s="26">
        <f t="shared" si="11"/>
        <v>0</v>
      </c>
      <c r="Z46" s="12">
        <f t="shared" si="12"/>
        <v>0</v>
      </c>
      <c r="AA46" s="4" t="s">
        <v>10</v>
      </c>
      <c r="AB46" s="11">
        <f>IFERROR(VLOOKUP(AA46,Curr!$B$2:$C$13,2,FALSE),0)</f>
        <v>10.8</v>
      </c>
      <c r="AC46" s="12">
        <f t="shared" si="13"/>
        <v>0</v>
      </c>
      <c r="AD46" s="12">
        <f t="shared" si="14"/>
        <v>0</v>
      </c>
      <c r="AE46" s="13">
        <f t="shared" si="15"/>
        <v>0</v>
      </c>
    </row>
    <row r="47" spans="2:31" x14ac:dyDescent="0.25">
      <c r="B47" s="4"/>
      <c r="E47" s="3"/>
      <c r="F47" s="3"/>
      <c r="G47" s="24"/>
      <c r="H47" s="24"/>
      <c r="K47" s="4"/>
      <c r="L47" s="4"/>
      <c r="M47" s="4"/>
      <c r="N47" s="4"/>
      <c r="O47" s="4"/>
      <c r="P47" s="33"/>
      <c r="Q47" s="25">
        <v>0</v>
      </c>
      <c r="R47" s="25">
        <v>0</v>
      </c>
      <c r="S47" s="12">
        <f t="shared" si="8"/>
        <v>0</v>
      </c>
      <c r="T47" s="5">
        <v>0</v>
      </c>
      <c r="U47" s="12">
        <f t="shared" si="9"/>
        <v>0</v>
      </c>
      <c r="V47" s="25" t="s">
        <v>10</v>
      </c>
      <c r="W47" s="11">
        <f>IFERROR(VLOOKUP(V47,Curr!$B$2:$C$13,2,FALSE),0)</f>
        <v>10.8</v>
      </c>
      <c r="X47" s="12">
        <f t="shared" si="10"/>
        <v>0</v>
      </c>
      <c r="Y47" s="26">
        <f t="shared" si="11"/>
        <v>0</v>
      </c>
      <c r="Z47" s="12">
        <f t="shared" si="12"/>
        <v>0</v>
      </c>
      <c r="AA47" s="4" t="s">
        <v>10</v>
      </c>
      <c r="AB47" s="11">
        <f>IFERROR(VLOOKUP(AA47,Curr!$B$2:$C$13,2,FALSE),0)</f>
        <v>10.8</v>
      </c>
      <c r="AC47" s="12">
        <f t="shared" si="13"/>
        <v>0</v>
      </c>
      <c r="AD47" s="12">
        <f t="shared" si="14"/>
        <v>0</v>
      </c>
      <c r="AE47" s="13">
        <f t="shared" si="15"/>
        <v>0</v>
      </c>
    </row>
    <row r="48" spans="2:31" x14ac:dyDescent="0.25">
      <c r="B48" s="4"/>
      <c r="E48" s="3"/>
      <c r="F48" s="3"/>
      <c r="G48" s="1"/>
      <c r="H48" s="1"/>
      <c r="K48" s="4"/>
      <c r="L48" s="4"/>
      <c r="M48" s="4"/>
      <c r="N48" s="4"/>
      <c r="O48" s="4"/>
      <c r="P48" s="33"/>
      <c r="Q48" s="25">
        <v>0</v>
      </c>
      <c r="R48" s="25">
        <v>0</v>
      </c>
      <c r="S48" s="12">
        <f t="shared" si="8"/>
        <v>0</v>
      </c>
      <c r="T48" s="5">
        <v>0</v>
      </c>
      <c r="U48" s="12">
        <f t="shared" si="9"/>
        <v>0</v>
      </c>
      <c r="V48" s="25" t="s">
        <v>10</v>
      </c>
      <c r="W48" s="11">
        <f>IFERROR(VLOOKUP(V48,Curr!$B$2:$C$13,2,FALSE),0)</f>
        <v>10.8</v>
      </c>
      <c r="X48" s="12">
        <f t="shared" si="10"/>
        <v>0</v>
      </c>
      <c r="Y48" s="26">
        <f t="shared" si="11"/>
        <v>0</v>
      </c>
      <c r="Z48" s="12">
        <f t="shared" si="12"/>
        <v>0</v>
      </c>
      <c r="AA48" s="4" t="s">
        <v>10</v>
      </c>
      <c r="AB48" s="11">
        <f>IFERROR(VLOOKUP(AA48,Curr!$B$2:$C$13,2,FALSE),0)</f>
        <v>10.8</v>
      </c>
      <c r="AC48" s="12">
        <f t="shared" si="13"/>
        <v>0</v>
      </c>
      <c r="AD48" s="12">
        <f t="shared" si="14"/>
        <v>0</v>
      </c>
      <c r="AE48" s="13">
        <f t="shared" si="15"/>
        <v>0</v>
      </c>
    </row>
    <row r="49" spans="2:31" x14ac:dyDescent="0.25">
      <c r="B49" s="4"/>
      <c r="E49" s="3"/>
      <c r="F49" s="1"/>
      <c r="G49" s="1"/>
      <c r="H49" s="1"/>
      <c r="K49" s="4"/>
      <c r="L49" s="4"/>
      <c r="M49" s="4"/>
      <c r="N49" s="4"/>
      <c r="O49" s="4"/>
      <c r="P49" s="33"/>
      <c r="Q49" s="25">
        <v>0</v>
      </c>
      <c r="R49" s="25">
        <v>0</v>
      </c>
      <c r="S49" s="12">
        <f t="shared" si="8"/>
        <v>0</v>
      </c>
      <c r="T49" s="5">
        <v>0</v>
      </c>
      <c r="U49" s="12">
        <f t="shared" si="9"/>
        <v>0</v>
      </c>
      <c r="V49" s="25" t="s">
        <v>10</v>
      </c>
      <c r="W49" s="11">
        <f>IFERROR(VLOOKUP(V49,Curr!$B$2:$C$13,2,FALSE),0)</f>
        <v>10.8</v>
      </c>
      <c r="X49" s="12">
        <f t="shared" si="10"/>
        <v>0</v>
      </c>
      <c r="Y49" s="26">
        <f t="shared" si="11"/>
        <v>0</v>
      </c>
      <c r="Z49" s="12">
        <f t="shared" si="12"/>
        <v>0</v>
      </c>
      <c r="AA49" s="4" t="s">
        <v>10</v>
      </c>
      <c r="AB49" s="11">
        <f>IFERROR(VLOOKUP(AA49,Curr!$B$2:$C$13,2,FALSE),0)</f>
        <v>10.8</v>
      </c>
      <c r="AC49" s="12">
        <f t="shared" si="13"/>
        <v>0</v>
      </c>
      <c r="AD49" s="12">
        <f t="shared" si="14"/>
        <v>0</v>
      </c>
      <c r="AE49" s="13">
        <f t="shared" si="15"/>
        <v>0</v>
      </c>
    </row>
    <row r="50" spans="2:31" x14ac:dyDescent="0.25">
      <c r="B50" s="4"/>
      <c r="E50" s="3"/>
      <c r="F50" s="1"/>
      <c r="G50" s="1"/>
      <c r="H50" s="1"/>
      <c r="K50" s="4"/>
      <c r="L50" s="4"/>
      <c r="M50" s="4"/>
      <c r="N50" s="4"/>
      <c r="O50" s="4"/>
      <c r="P50" s="33"/>
      <c r="Q50" s="25">
        <v>0</v>
      </c>
      <c r="R50" s="25">
        <v>0</v>
      </c>
      <c r="S50" s="12">
        <f t="shared" si="8"/>
        <v>0</v>
      </c>
      <c r="T50" s="5">
        <v>0</v>
      </c>
      <c r="U50" s="12">
        <f t="shared" si="9"/>
        <v>0</v>
      </c>
      <c r="V50" s="25" t="s">
        <v>10</v>
      </c>
      <c r="W50" s="11">
        <f>IFERROR(VLOOKUP(V50,Curr!$B$2:$C$13,2,FALSE),0)</f>
        <v>10.8</v>
      </c>
      <c r="X50" s="12">
        <f t="shared" si="10"/>
        <v>0</v>
      </c>
      <c r="Y50" s="26">
        <f t="shared" si="11"/>
        <v>0</v>
      </c>
      <c r="Z50" s="12">
        <f t="shared" si="12"/>
        <v>0</v>
      </c>
      <c r="AA50" s="4" t="s">
        <v>10</v>
      </c>
      <c r="AB50" s="11">
        <f>IFERROR(VLOOKUP(AA50,Curr!$B$2:$C$13,2,FALSE),0)</f>
        <v>10.8</v>
      </c>
      <c r="AC50" s="12">
        <f t="shared" si="13"/>
        <v>0</v>
      </c>
      <c r="AD50" s="12">
        <f t="shared" si="14"/>
        <v>0</v>
      </c>
      <c r="AE50" s="13">
        <f t="shared" si="15"/>
        <v>0</v>
      </c>
    </row>
    <row r="51" spans="2:31" x14ac:dyDescent="0.25">
      <c r="B51" s="4"/>
      <c r="E51" s="3"/>
      <c r="F51" s="3"/>
      <c r="G51" s="24"/>
      <c r="H51" s="24"/>
      <c r="K51" s="4"/>
      <c r="L51" s="4"/>
      <c r="M51" s="4"/>
      <c r="N51" s="4"/>
      <c r="O51" s="4"/>
      <c r="P51" s="33"/>
      <c r="Q51" s="25">
        <v>0</v>
      </c>
      <c r="R51" s="25">
        <v>0</v>
      </c>
      <c r="S51" s="12">
        <f t="shared" si="8"/>
        <v>0</v>
      </c>
      <c r="T51" s="5">
        <v>0</v>
      </c>
      <c r="U51" s="12">
        <f t="shared" si="9"/>
        <v>0</v>
      </c>
      <c r="V51" s="25" t="s">
        <v>10</v>
      </c>
      <c r="W51" s="11">
        <f>IFERROR(VLOOKUP(V51,Curr!$B$2:$C$13,2,FALSE),0)</f>
        <v>10.8</v>
      </c>
      <c r="X51" s="12">
        <f t="shared" si="10"/>
        <v>0</v>
      </c>
      <c r="Y51" s="26">
        <f t="shared" si="11"/>
        <v>0</v>
      </c>
      <c r="Z51" s="12">
        <f t="shared" si="12"/>
        <v>0</v>
      </c>
      <c r="AA51" s="4" t="s">
        <v>10</v>
      </c>
      <c r="AB51" s="11">
        <f>IFERROR(VLOOKUP(AA51,Curr!$B$2:$C$13,2,FALSE),0)</f>
        <v>10.8</v>
      </c>
      <c r="AC51" s="12">
        <f t="shared" si="13"/>
        <v>0</v>
      </c>
      <c r="AD51" s="12">
        <f t="shared" si="14"/>
        <v>0</v>
      </c>
      <c r="AE51" s="13">
        <f t="shared" si="15"/>
        <v>0</v>
      </c>
    </row>
    <row r="52" spans="2:31" x14ac:dyDescent="0.25">
      <c r="B52" s="4"/>
      <c r="E52" s="3"/>
      <c r="F52" s="3"/>
      <c r="G52" s="24"/>
      <c r="H52" s="24"/>
      <c r="K52" s="4"/>
      <c r="L52" s="4"/>
      <c r="M52" s="4"/>
      <c r="N52" s="4"/>
      <c r="O52" s="4"/>
      <c r="P52" s="33"/>
      <c r="Q52" s="25">
        <v>0</v>
      </c>
      <c r="R52" s="25">
        <v>0</v>
      </c>
      <c r="S52" s="12">
        <f t="shared" si="8"/>
        <v>0</v>
      </c>
      <c r="T52" s="5">
        <v>0</v>
      </c>
      <c r="U52" s="12">
        <f t="shared" si="9"/>
        <v>0</v>
      </c>
      <c r="V52" s="25" t="s">
        <v>10</v>
      </c>
      <c r="W52" s="11">
        <f>IFERROR(VLOOKUP(V52,Curr!$B$2:$C$13,2,FALSE),0)</f>
        <v>10.8</v>
      </c>
      <c r="X52" s="12">
        <f t="shared" si="10"/>
        <v>0</v>
      </c>
      <c r="Y52" s="26">
        <f t="shared" si="11"/>
        <v>0</v>
      </c>
      <c r="Z52" s="12">
        <f t="shared" si="12"/>
        <v>0</v>
      </c>
      <c r="AA52" s="4" t="s">
        <v>10</v>
      </c>
      <c r="AB52" s="11">
        <f>IFERROR(VLOOKUP(AA52,Curr!$B$2:$C$13,2,FALSE),0)</f>
        <v>10.8</v>
      </c>
      <c r="AC52" s="12">
        <f t="shared" si="13"/>
        <v>0</v>
      </c>
      <c r="AD52" s="12">
        <f t="shared" si="14"/>
        <v>0</v>
      </c>
      <c r="AE52" s="13">
        <f t="shared" si="15"/>
        <v>0</v>
      </c>
    </row>
    <row r="53" spans="2:31" x14ac:dyDescent="0.25">
      <c r="B53" s="4"/>
      <c r="E53" s="3"/>
      <c r="F53" s="3"/>
      <c r="G53" s="24"/>
      <c r="H53" s="24"/>
      <c r="K53" s="4"/>
      <c r="L53" s="4"/>
      <c r="M53" s="4"/>
      <c r="N53" s="4"/>
      <c r="O53" s="4"/>
      <c r="P53" s="33"/>
      <c r="Q53" s="25">
        <v>0</v>
      </c>
      <c r="R53" s="25">
        <v>0</v>
      </c>
      <c r="S53" s="12">
        <f t="shared" si="8"/>
        <v>0</v>
      </c>
      <c r="T53" s="5">
        <v>0</v>
      </c>
      <c r="U53" s="12">
        <f t="shared" si="9"/>
        <v>0</v>
      </c>
      <c r="V53" s="25" t="s">
        <v>10</v>
      </c>
      <c r="W53" s="11">
        <f>IFERROR(VLOOKUP(V53,Curr!$B$2:$C$13,2,FALSE),0)</f>
        <v>10.8</v>
      </c>
      <c r="X53" s="12">
        <f t="shared" si="10"/>
        <v>0</v>
      </c>
      <c r="Y53" s="26">
        <f t="shared" si="11"/>
        <v>0</v>
      </c>
      <c r="Z53" s="12">
        <f t="shared" si="12"/>
        <v>0</v>
      </c>
      <c r="AA53" s="4" t="s">
        <v>10</v>
      </c>
      <c r="AB53" s="11">
        <f>IFERROR(VLOOKUP(AA53,Curr!$B$2:$C$13,2,FALSE),0)</f>
        <v>10.8</v>
      </c>
      <c r="AC53" s="12">
        <f t="shared" si="13"/>
        <v>0</v>
      </c>
      <c r="AD53" s="12">
        <f t="shared" si="14"/>
        <v>0</v>
      </c>
      <c r="AE53" s="13">
        <f t="shared" si="15"/>
        <v>0</v>
      </c>
    </row>
    <row r="54" spans="2:31" x14ac:dyDescent="0.25">
      <c r="B54" s="4"/>
      <c r="E54" s="3"/>
      <c r="F54" s="3"/>
      <c r="G54" s="24"/>
      <c r="H54" s="24"/>
      <c r="K54" s="4"/>
      <c r="L54" s="4"/>
      <c r="M54" s="4"/>
      <c r="N54" s="4"/>
      <c r="O54" s="4"/>
      <c r="P54" s="33"/>
      <c r="Q54" s="25">
        <v>0</v>
      </c>
      <c r="R54" s="25">
        <v>0</v>
      </c>
      <c r="S54" s="12">
        <f t="shared" si="8"/>
        <v>0</v>
      </c>
      <c r="T54" s="5">
        <v>0</v>
      </c>
      <c r="U54" s="12">
        <f t="shared" si="9"/>
        <v>0</v>
      </c>
      <c r="V54" s="25" t="s">
        <v>10</v>
      </c>
      <c r="W54" s="11">
        <f>IFERROR(VLOOKUP(V54,Curr!$B$2:$C$13,2,FALSE),0)</f>
        <v>10.8</v>
      </c>
      <c r="X54" s="12">
        <f t="shared" si="10"/>
        <v>0</v>
      </c>
      <c r="Y54" s="26">
        <f t="shared" si="11"/>
        <v>0</v>
      </c>
      <c r="Z54" s="12">
        <f t="shared" si="12"/>
        <v>0</v>
      </c>
      <c r="AA54" s="4" t="s">
        <v>10</v>
      </c>
      <c r="AB54" s="11">
        <f>IFERROR(VLOOKUP(AA54,Curr!$B$2:$C$13,2,FALSE),0)</f>
        <v>10.8</v>
      </c>
      <c r="AC54" s="12">
        <f t="shared" si="13"/>
        <v>0</v>
      </c>
      <c r="AD54" s="12">
        <f t="shared" si="14"/>
        <v>0</v>
      </c>
      <c r="AE54" s="13">
        <f t="shared" si="15"/>
        <v>0</v>
      </c>
    </row>
    <row r="55" spans="2:31" x14ac:dyDescent="0.25">
      <c r="B55" s="4"/>
      <c r="E55" s="3"/>
      <c r="F55" s="3"/>
      <c r="G55" s="24"/>
      <c r="H55" s="24"/>
      <c r="K55" s="4"/>
      <c r="L55" s="4"/>
      <c r="M55" s="4"/>
      <c r="N55" s="4"/>
      <c r="O55" s="4"/>
      <c r="P55" s="33"/>
      <c r="Q55" s="25">
        <v>0</v>
      </c>
      <c r="R55" s="25">
        <v>0</v>
      </c>
      <c r="S55" s="12">
        <f t="shared" si="8"/>
        <v>0</v>
      </c>
      <c r="T55" s="5">
        <v>0</v>
      </c>
      <c r="U55" s="12">
        <f t="shared" si="9"/>
        <v>0</v>
      </c>
      <c r="V55" s="25" t="s">
        <v>10</v>
      </c>
      <c r="W55" s="11">
        <f>IFERROR(VLOOKUP(V55,Curr!$B$2:$C$13,2,FALSE),0)</f>
        <v>10.8</v>
      </c>
      <c r="X55" s="12">
        <f t="shared" si="10"/>
        <v>0</v>
      </c>
      <c r="Y55" s="26">
        <f t="shared" si="11"/>
        <v>0</v>
      </c>
      <c r="Z55" s="12">
        <f t="shared" si="12"/>
        <v>0</v>
      </c>
      <c r="AA55" s="4" t="s">
        <v>10</v>
      </c>
      <c r="AB55" s="11">
        <f>IFERROR(VLOOKUP(AA55,Curr!$B$2:$C$13,2,FALSE),0)</f>
        <v>10.8</v>
      </c>
      <c r="AC55" s="12">
        <f t="shared" si="13"/>
        <v>0</v>
      </c>
      <c r="AD55" s="12">
        <f t="shared" si="14"/>
        <v>0</v>
      </c>
      <c r="AE55" s="13">
        <f t="shared" si="15"/>
        <v>0</v>
      </c>
    </row>
    <row r="56" spans="2:31" x14ac:dyDescent="0.25">
      <c r="B56" s="4"/>
      <c r="E56" s="3"/>
      <c r="F56" s="3"/>
      <c r="G56" s="24"/>
      <c r="H56" s="24"/>
      <c r="K56" s="4"/>
      <c r="L56" s="4"/>
      <c r="M56" s="4"/>
      <c r="N56" s="4"/>
      <c r="O56" s="4"/>
      <c r="P56" s="33"/>
      <c r="Q56" s="25">
        <v>0</v>
      </c>
      <c r="R56" s="25">
        <v>0</v>
      </c>
      <c r="S56" s="12">
        <f t="shared" si="8"/>
        <v>0</v>
      </c>
      <c r="T56" s="5">
        <v>0</v>
      </c>
      <c r="U56" s="12">
        <f t="shared" si="9"/>
        <v>0</v>
      </c>
      <c r="V56" s="25" t="s">
        <v>10</v>
      </c>
      <c r="W56" s="11">
        <f>IFERROR(VLOOKUP(V56,Curr!$B$2:$C$13,2,FALSE),0)</f>
        <v>10.8</v>
      </c>
      <c r="X56" s="12">
        <f t="shared" si="10"/>
        <v>0</v>
      </c>
      <c r="Y56" s="26">
        <f t="shared" si="11"/>
        <v>0</v>
      </c>
      <c r="Z56" s="12">
        <f t="shared" si="12"/>
        <v>0</v>
      </c>
      <c r="AA56" s="4" t="s">
        <v>10</v>
      </c>
      <c r="AB56" s="11">
        <f>IFERROR(VLOOKUP(AA56,Curr!$B$2:$C$13,2,FALSE),0)</f>
        <v>10.8</v>
      </c>
      <c r="AC56" s="12">
        <f t="shared" si="13"/>
        <v>0</v>
      </c>
      <c r="AD56" s="12">
        <f t="shared" si="14"/>
        <v>0</v>
      </c>
      <c r="AE56" s="13">
        <f t="shared" si="15"/>
        <v>0</v>
      </c>
    </row>
    <row r="57" spans="2:31" x14ac:dyDescent="0.25">
      <c r="B57" s="4"/>
      <c r="E57" s="3"/>
      <c r="F57" s="3"/>
      <c r="G57" s="24"/>
      <c r="H57" s="24"/>
      <c r="K57" s="4"/>
      <c r="L57" s="4"/>
      <c r="M57" s="4"/>
      <c r="N57" s="4"/>
      <c r="O57" s="4"/>
      <c r="P57" s="33"/>
      <c r="Q57" s="25">
        <v>0</v>
      </c>
      <c r="R57" s="25">
        <v>0</v>
      </c>
      <c r="S57" s="12">
        <f t="shared" si="8"/>
        <v>0</v>
      </c>
      <c r="T57" s="5">
        <v>0</v>
      </c>
      <c r="U57" s="12">
        <f t="shared" si="9"/>
        <v>0</v>
      </c>
      <c r="V57" s="25" t="s">
        <v>10</v>
      </c>
      <c r="W57" s="11">
        <f>IFERROR(VLOOKUP(V57,Curr!$B$2:$C$13,2,FALSE),0)</f>
        <v>10.8</v>
      </c>
      <c r="X57" s="12">
        <f t="shared" si="10"/>
        <v>0</v>
      </c>
      <c r="Y57" s="26">
        <f t="shared" si="11"/>
        <v>0</v>
      </c>
      <c r="Z57" s="12">
        <f t="shared" si="12"/>
        <v>0</v>
      </c>
      <c r="AA57" s="4" t="s">
        <v>10</v>
      </c>
      <c r="AB57" s="11">
        <f>IFERROR(VLOOKUP(AA57,Curr!$B$2:$C$13,2,FALSE),0)</f>
        <v>10.8</v>
      </c>
      <c r="AC57" s="12">
        <f t="shared" si="13"/>
        <v>0</v>
      </c>
      <c r="AD57" s="12">
        <f t="shared" si="14"/>
        <v>0</v>
      </c>
      <c r="AE57" s="13">
        <f t="shared" si="15"/>
        <v>0</v>
      </c>
    </row>
    <row r="58" spans="2:31" x14ac:dyDescent="0.25">
      <c r="B58" s="4"/>
      <c r="E58" s="3"/>
      <c r="F58" s="3"/>
      <c r="G58" s="24"/>
      <c r="H58" s="24"/>
      <c r="K58" s="4"/>
      <c r="L58" s="4"/>
      <c r="M58" s="4"/>
      <c r="N58" s="4"/>
      <c r="O58" s="4"/>
      <c r="P58" s="33"/>
      <c r="Q58" s="25">
        <v>0</v>
      </c>
      <c r="R58" s="25">
        <v>0</v>
      </c>
      <c r="S58" s="12">
        <f t="shared" si="8"/>
        <v>0</v>
      </c>
      <c r="T58" s="5">
        <v>0</v>
      </c>
      <c r="U58" s="12">
        <f t="shared" si="9"/>
        <v>0</v>
      </c>
      <c r="V58" s="25" t="s">
        <v>10</v>
      </c>
      <c r="W58" s="11">
        <f>IFERROR(VLOOKUP(V58,Curr!$B$2:$C$13,2,FALSE),0)</f>
        <v>10.8</v>
      </c>
      <c r="X58" s="12">
        <f t="shared" si="10"/>
        <v>0</v>
      </c>
      <c r="Y58" s="26">
        <f t="shared" si="11"/>
        <v>0</v>
      </c>
      <c r="Z58" s="12">
        <f t="shared" si="12"/>
        <v>0</v>
      </c>
      <c r="AA58" s="4" t="s">
        <v>10</v>
      </c>
      <c r="AB58" s="11">
        <f>IFERROR(VLOOKUP(AA58,Curr!$B$2:$C$13,2,FALSE),0)</f>
        <v>10.8</v>
      </c>
      <c r="AC58" s="12">
        <f t="shared" si="13"/>
        <v>0</v>
      </c>
      <c r="AD58" s="12">
        <f t="shared" si="14"/>
        <v>0</v>
      </c>
      <c r="AE58" s="13">
        <f t="shared" si="15"/>
        <v>0</v>
      </c>
    </row>
    <row r="59" spans="2:31" x14ac:dyDescent="0.25">
      <c r="B59" s="4"/>
      <c r="E59" s="3"/>
      <c r="F59" s="3"/>
      <c r="G59" s="24"/>
      <c r="H59" s="24"/>
      <c r="K59" s="4"/>
      <c r="L59" s="4"/>
      <c r="M59" s="4"/>
      <c r="N59" s="4"/>
      <c r="O59" s="4"/>
      <c r="P59" s="33"/>
      <c r="Q59" s="25">
        <v>0</v>
      </c>
      <c r="R59" s="25">
        <v>0</v>
      </c>
      <c r="S59" s="12">
        <f t="shared" si="8"/>
        <v>0</v>
      </c>
      <c r="T59" s="5">
        <v>0</v>
      </c>
      <c r="U59" s="12">
        <f t="shared" si="9"/>
        <v>0</v>
      </c>
      <c r="V59" s="25" t="s">
        <v>10</v>
      </c>
      <c r="W59" s="11">
        <f>IFERROR(VLOOKUP(V59,Curr!$B$2:$C$13,2,FALSE),0)</f>
        <v>10.8</v>
      </c>
      <c r="X59" s="12">
        <f t="shared" si="10"/>
        <v>0</v>
      </c>
      <c r="Y59" s="26">
        <f t="shared" si="11"/>
        <v>0</v>
      </c>
      <c r="Z59" s="12">
        <f t="shared" si="12"/>
        <v>0</v>
      </c>
      <c r="AA59" s="4" t="s">
        <v>10</v>
      </c>
      <c r="AB59" s="11">
        <f>IFERROR(VLOOKUP(AA59,Curr!$B$2:$C$13,2,FALSE),0)</f>
        <v>10.8</v>
      </c>
      <c r="AC59" s="12">
        <f t="shared" si="13"/>
        <v>0</v>
      </c>
      <c r="AD59" s="12">
        <f t="shared" si="14"/>
        <v>0</v>
      </c>
      <c r="AE59" s="13">
        <f t="shared" si="15"/>
        <v>0</v>
      </c>
    </row>
    <row r="60" spans="2:31" x14ac:dyDescent="0.25">
      <c r="B60" s="4"/>
      <c r="E60" s="3"/>
      <c r="F60" s="3"/>
      <c r="G60" s="24"/>
      <c r="H60" s="24"/>
      <c r="K60" s="4"/>
      <c r="L60" s="4"/>
      <c r="M60" s="4"/>
      <c r="N60" s="4"/>
      <c r="O60" s="4"/>
      <c r="P60" s="33"/>
      <c r="Q60" s="25">
        <v>0</v>
      </c>
      <c r="R60" s="25">
        <v>0</v>
      </c>
      <c r="S60" s="12">
        <f t="shared" si="8"/>
        <v>0</v>
      </c>
      <c r="T60" s="5">
        <v>0</v>
      </c>
      <c r="U60" s="12">
        <f t="shared" si="9"/>
        <v>0</v>
      </c>
      <c r="V60" s="25" t="s">
        <v>10</v>
      </c>
      <c r="W60" s="11">
        <f>IFERROR(VLOOKUP(V60,Curr!$B$2:$C$13,2,FALSE),0)</f>
        <v>10.8</v>
      </c>
      <c r="X60" s="12">
        <f t="shared" si="10"/>
        <v>0</v>
      </c>
      <c r="Y60" s="26">
        <f t="shared" si="11"/>
        <v>0</v>
      </c>
      <c r="Z60" s="12">
        <f t="shared" si="12"/>
        <v>0</v>
      </c>
      <c r="AA60" s="4" t="s">
        <v>10</v>
      </c>
      <c r="AB60" s="11">
        <f>IFERROR(VLOOKUP(AA60,Curr!$B$2:$C$13,2,FALSE),0)</f>
        <v>10.8</v>
      </c>
      <c r="AC60" s="12">
        <f t="shared" si="13"/>
        <v>0</v>
      </c>
      <c r="AD60" s="12">
        <f t="shared" si="14"/>
        <v>0</v>
      </c>
      <c r="AE60" s="13">
        <f t="shared" si="15"/>
        <v>0</v>
      </c>
    </row>
    <row r="61" spans="2:31" x14ac:dyDescent="0.25">
      <c r="B61" s="4"/>
      <c r="E61" s="3"/>
      <c r="F61" s="3"/>
      <c r="G61" s="24"/>
      <c r="H61" s="24"/>
      <c r="K61" s="4"/>
      <c r="L61" s="4"/>
      <c r="M61" s="4"/>
      <c r="N61" s="4"/>
      <c r="O61" s="4"/>
      <c r="P61" s="33"/>
      <c r="Q61" s="25">
        <v>0</v>
      </c>
      <c r="R61" s="25">
        <v>0</v>
      </c>
      <c r="S61" s="12">
        <f t="shared" si="8"/>
        <v>0</v>
      </c>
      <c r="T61" s="5">
        <v>0</v>
      </c>
      <c r="U61" s="12">
        <f t="shared" si="9"/>
        <v>0</v>
      </c>
      <c r="V61" s="25" t="s">
        <v>10</v>
      </c>
      <c r="W61" s="11">
        <f>IFERROR(VLOOKUP(V61,Curr!$B$2:$C$13,2,FALSE),0)</f>
        <v>10.8</v>
      </c>
      <c r="X61" s="12">
        <f t="shared" si="10"/>
        <v>0</v>
      </c>
      <c r="Y61" s="26">
        <f t="shared" si="11"/>
        <v>0</v>
      </c>
      <c r="Z61" s="12">
        <f t="shared" si="12"/>
        <v>0</v>
      </c>
      <c r="AA61" s="4" t="s">
        <v>10</v>
      </c>
      <c r="AB61" s="11">
        <f>IFERROR(VLOOKUP(AA61,Curr!$B$2:$C$13,2,FALSE),0)</f>
        <v>10.8</v>
      </c>
      <c r="AC61" s="12">
        <f t="shared" si="13"/>
        <v>0</v>
      </c>
      <c r="AD61" s="12">
        <f t="shared" si="14"/>
        <v>0</v>
      </c>
      <c r="AE61" s="13">
        <f t="shared" si="15"/>
        <v>0</v>
      </c>
    </row>
    <row r="62" spans="2:31" x14ac:dyDescent="0.25">
      <c r="B62" s="4"/>
      <c r="E62" s="3"/>
      <c r="F62" s="3"/>
      <c r="G62" s="24"/>
      <c r="H62" s="24"/>
      <c r="K62" s="4"/>
      <c r="L62" s="4"/>
      <c r="M62" s="4"/>
      <c r="N62" s="4"/>
      <c r="O62" s="4"/>
      <c r="P62" s="33"/>
      <c r="Q62" s="25">
        <v>0</v>
      </c>
      <c r="R62" s="25">
        <v>0</v>
      </c>
      <c r="S62" s="12">
        <f t="shared" si="8"/>
        <v>0</v>
      </c>
      <c r="T62" s="5">
        <v>0</v>
      </c>
      <c r="U62" s="12">
        <f t="shared" si="9"/>
        <v>0</v>
      </c>
      <c r="V62" s="25" t="s">
        <v>10</v>
      </c>
      <c r="W62" s="11">
        <f>IFERROR(VLOOKUP(V62,Curr!$B$2:$C$13,2,FALSE),0)</f>
        <v>10.8</v>
      </c>
      <c r="X62" s="12">
        <f t="shared" si="10"/>
        <v>0</v>
      </c>
      <c r="Y62" s="26">
        <f t="shared" si="11"/>
        <v>0</v>
      </c>
      <c r="Z62" s="12">
        <f t="shared" si="12"/>
        <v>0</v>
      </c>
      <c r="AA62" s="4" t="s">
        <v>10</v>
      </c>
      <c r="AB62" s="11">
        <f>IFERROR(VLOOKUP(AA62,Curr!$B$2:$C$13,2,FALSE),0)</f>
        <v>10.8</v>
      </c>
      <c r="AC62" s="12">
        <f t="shared" si="13"/>
        <v>0</v>
      </c>
      <c r="AD62" s="12">
        <f t="shared" si="14"/>
        <v>0</v>
      </c>
      <c r="AE62" s="13">
        <f t="shared" si="15"/>
        <v>0</v>
      </c>
    </row>
    <row r="63" spans="2:31" x14ac:dyDescent="0.25">
      <c r="B63" s="4"/>
      <c r="E63" s="3"/>
      <c r="F63" s="3"/>
      <c r="G63" s="24"/>
      <c r="H63" s="24"/>
      <c r="K63" s="4"/>
      <c r="L63" s="4"/>
      <c r="M63" s="4"/>
      <c r="N63" s="4"/>
      <c r="O63" s="4"/>
      <c r="P63" s="33"/>
      <c r="Q63" s="25">
        <v>0</v>
      </c>
      <c r="R63" s="25">
        <v>0</v>
      </c>
      <c r="S63" s="12">
        <f t="shared" si="8"/>
        <v>0</v>
      </c>
      <c r="T63" s="5">
        <v>0</v>
      </c>
      <c r="U63" s="12">
        <f t="shared" si="9"/>
        <v>0</v>
      </c>
      <c r="V63" s="25" t="s">
        <v>10</v>
      </c>
      <c r="W63" s="11">
        <f>IFERROR(VLOOKUP(V63,Curr!$B$2:$C$13,2,FALSE),0)</f>
        <v>10.8</v>
      </c>
      <c r="X63" s="12">
        <f t="shared" si="10"/>
        <v>0</v>
      </c>
      <c r="Y63" s="26">
        <f t="shared" si="11"/>
        <v>0</v>
      </c>
      <c r="Z63" s="12">
        <f t="shared" si="12"/>
        <v>0</v>
      </c>
      <c r="AA63" s="4" t="s">
        <v>10</v>
      </c>
      <c r="AB63" s="11">
        <f>IFERROR(VLOOKUP(AA63,Curr!$B$2:$C$13,2,FALSE),0)</f>
        <v>10.8</v>
      </c>
      <c r="AC63" s="12">
        <f t="shared" si="13"/>
        <v>0</v>
      </c>
      <c r="AD63" s="12">
        <f t="shared" si="14"/>
        <v>0</v>
      </c>
      <c r="AE63" s="13">
        <f t="shared" si="15"/>
        <v>0</v>
      </c>
    </row>
    <row r="64" spans="2:31" x14ac:dyDescent="0.25">
      <c r="B64" s="4"/>
      <c r="E64" s="3"/>
      <c r="F64" s="3"/>
      <c r="G64" s="24"/>
      <c r="H64" s="24"/>
      <c r="K64" s="4"/>
      <c r="L64" s="4"/>
      <c r="M64" s="4"/>
      <c r="N64" s="4"/>
      <c r="O64" s="4"/>
      <c r="P64" s="33"/>
      <c r="Q64" s="25">
        <v>0</v>
      </c>
      <c r="R64" s="25">
        <v>0</v>
      </c>
      <c r="S64" s="12">
        <f t="shared" si="8"/>
        <v>0</v>
      </c>
      <c r="T64" s="5">
        <v>0</v>
      </c>
      <c r="U64" s="12">
        <f t="shared" si="9"/>
        <v>0</v>
      </c>
      <c r="V64" s="25" t="s">
        <v>10</v>
      </c>
      <c r="W64" s="11">
        <f>IFERROR(VLOOKUP(V64,Curr!$B$2:$C$13,2,FALSE),0)</f>
        <v>10.8</v>
      </c>
      <c r="X64" s="12">
        <f t="shared" si="10"/>
        <v>0</v>
      </c>
      <c r="Y64" s="26">
        <f t="shared" si="11"/>
        <v>0</v>
      </c>
      <c r="Z64" s="12">
        <f t="shared" si="12"/>
        <v>0</v>
      </c>
      <c r="AA64" s="4" t="s">
        <v>10</v>
      </c>
      <c r="AB64" s="11">
        <f>IFERROR(VLOOKUP(AA64,Curr!$B$2:$C$13,2,FALSE),0)</f>
        <v>10.8</v>
      </c>
      <c r="AC64" s="12">
        <f t="shared" si="13"/>
        <v>0</v>
      </c>
      <c r="AD64" s="12">
        <f t="shared" si="14"/>
        <v>0</v>
      </c>
      <c r="AE64" s="13">
        <f t="shared" si="15"/>
        <v>0</v>
      </c>
    </row>
    <row r="65" spans="2:31" x14ac:dyDescent="0.25">
      <c r="B65" s="4"/>
      <c r="E65" s="3"/>
      <c r="F65" s="3"/>
      <c r="G65" s="24"/>
      <c r="H65" s="24"/>
      <c r="K65" s="4"/>
      <c r="L65" s="4"/>
      <c r="M65" s="4"/>
      <c r="N65" s="4"/>
      <c r="O65" s="4"/>
      <c r="P65" s="33"/>
      <c r="Q65" s="25">
        <v>0</v>
      </c>
      <c r="R65" s="25">
        <v>0</v>
      </c>
      <c r="S65" s="12">
        <f t="shared" si="8"/>
        <v>0</v>
      </c>
      <c r="T65" s="5">
        <v>0</v>
      </c>
      <c r="U65" s="12">
        <f t="shared" si="9"/>
        <v>0</v>
      </c>
      <c r="V65" s="25" t="s">
        <v>10</v>
      </c>
      <c r="W65" s="11">
        <f>IFERROR(VLOOKUP(V65,Curr!$B$2:$C$13,2,FALSE),0)</f>
        <v>10.8</v>
      </c>
      <c r="X65" s="12">
        <f t="shared" si="10"/>
        <v>0</v>
      </c>
      <c r="Y65" s="26">
        <f t="shared" si="11"/>
        <v>0</v>
      </c>
      <c r="Z65" s="12">
        <f t="shared" si="12"/>
        <v>0</v>
      </c>
      <c r="AA65" s="4" t="s">
        <v>10</v>
      </c>
      <c r="AB65" s="11">
        <f>IFERROR(VLOOKUP(AA65,Curr!$B$2:$C$13,2,FALSE),0)</f>
        <v>10.8</v>
      </c>
      <c r="AC65" s="12">
        <f t="shared" si="13"/>
        <v>0</v>
      </c>
      <c r="AD65" s="12">
        <f t="shared" si="14"/>
        <v>0</v>
      </c>
      <c r="AE65" s="13">
        <f t="shared" si="15"/>
        <v>0</v>
      </c>
    </row>
    <row r="66" spans="2:31" x14ac:dyDescent="0.25">
      <c r="B66" s="4"/>
      <c r="E66" s="3"/>
      <c r="F66" s="3"/>
      <c r="G66" s="24"/>
      <c r="H66" s="24"/>
      <c r="K66" s="4"/>
      <c r="L66" s="4"/>
      <c r="M66" s="4"/>
      <c r="N66" s="4"/>
      <c r="O66" s="4"/>
      <c r="P66" s="33"/>
      <c r="Q66" s="25">
        <v>0</v>
      </c>
      <c r="R66" s="25">
        <v>0</v>
      </c>
      <c r="S66" s="12">
        <f t="shared" si="8"/>
        <v>0</v>
      </c>
      <c r="T66" s="5">
        <v>0</v>
      </c>
      <c r="U66" s="12">
        <f t="shared" si="9"/>
        <v>0</v>
      </c>
      <c r="V66" s="25" t="s">
        <v>10</v>
      </c>
      <c r="W66" s="11">
        <f>IFERROR(VLOOKUP(V66,Curr!$B$2:$C$13,2,FALSE),0)</f>
        <v>10.8</v>
      </c>
      <c r="X66" s="12">
        <f t="shared" si="10"/>
        <v>0</v>
      </c>
      <c r="Y66" s="26">
        <f t="shared" si="11"/>
        <v>0</v>
      </c>
      <c r="Z66" s="12">
        <f t="shared" si="12"/>
        <v>0</v>
      </c>
      <c r="AA66" s="4" t="s">
        <v>10</v>
      </c>
      <c r="AB66" s="11">
        <f>IFERROR(VLOOKUP(AA66,Curr!$B$2:$C$13,2,FALSE),0)</f>
        <v>10.8</v>
      </c>
      <c r="AC66" s="12">
        <f t="shared" si="13"/>
        <v>0</v>
      </c>
      <c r="AD66" s="12">
        <f t="shared" si="14"/>
        <v>0</v>
      </c>
      <c r="AE66" s="13">
        <f t="shared" si="15"/>
        <v>0</v>
      </c>
    </row>
    <row r="67" spans="2:31" x14ac:dyDescent="0.25">
      <c r="B67" s="4"/>
      <c r="E67" s="3"/>
      <c r="F67" s="3"/>
      <c r="G67" s="24"/>
      <c r="H67" s="24"/>
      <c r="K67" s="4"/>
      <c r="L67" s="4"/>
      <c r="M67" s="4"/>
      <c r="N67" s="4"/>
      <c r="O67" s="4"/>
      <c r="P67" s="33"/>
      <c r="Q67" s="25">
        <v>0</v>
      </c>
      <c r="R67" s="25">
        <v>0</v>
      </c>
      <c r="S67" s="12">
        <f t="shared" si="8"/>
        <v>0</v>
      </c>
      <c r="T67" s="5">
        <v>0</v>
      </c>
      <c r="U67" s="12">
        <f t="shared" si="9"/>
        <v>0</v>
      </c>
      <c r="V67" s="25" t="s">
        <v>10</v>
      </c>
      <c r="W67" s="11">
        <f>IFERROR(VLOOKUP(V67,Curr!$B$2:$C$13,2,FALSE),0)</f>
        <v>10.8</v>
      </c>
      <c r="X67" s="12">
        <f t="shared" si="10"/>
        <v>0</v>
      </c>
      <c r="Y67" s="26">
        <f t="shared" si="11"/>
        <v>0</v>
      </c>
      <c r="Z67" s="12">
        <f t="shared" si="12"/>
        <v>0</v>
      </c>
      <c r="AA67" s="4" t="s">
        <v>10</v>
      </c>
      <c r="AB67" s="11">
        <f>IFERROR(VLOOKUP(AA67,Curr!$B$2:$C$13,2,FALSE),0)</f>
        <v>10.8</v>
      </c>
      <c r="AC67" s="12">
        <f t="shared" si="13"/>
        <v>0</v>
      </c>
      <c r="AD67" s="12">
        <f t="shared" si="14"/>
        <v>0</v>
      </c>
      <c r="AE67" s="13">
        <f t="shared" si="15"/>
        <v>0</v>
      </c>
    </row>
    <row r="68" spans="2:31" x14ac:dyDescent="0.25">
      <c r="B68" s="4"/>
      <c r="E68" s="3"/>
      <c r="F68" s="3"/>
      <c r="G68" s="24"/>
      <c r="H68" s="24"/>
      <c r="K68" s="4"/>
      <c r="L68" s="4"/>
      <c r="M68" s="4"/>
      <c r="N68" s="4"/>
      <c r="O68" s="4"/>
      <c r="P68" s="33"/>
      <c r="Q68" s="25">
        <v>0</v>
      </c>
      <c r="R68" s="25">
        <v>0</v>
      </c>
      <c r="S68" s="12">
        <f t="shared" si="8"/>
        <v>0</v>
      </c>
      <c r="T68" s="5">
        <v>0</v>
      </c>
      <c r="U68" s="12">
        <f t="shared" si="9"/>
        <v>0</v>
      </c>
      <c r="V68" s="25" t="s">
        <v>10</v>
      </c>
      <c r="W68" s="11">
        <f>IFERROR(VLOOKUP(V68,Curr!$B$2:$C$13,2,FALSE),0)</f>
        <v>10.8</v>
      </c>
      <c r="X68" s="12">
        <f t="shared" si="10"/>
        <v>0</v>
      </c>
      <c r="Y68" s="26">
        <f t="shared" si="11"/>
        <v>0</v>
      </c>
      <c r="Z68" s="12">
        <f t="shared" si="12"/>
        <v>0</v>
      </c>
      <c r="AA68" s="4" t="s">
        <v>10</v>
      </c>
      <c r="AB68" s="11">
        <f>IFERROR(VLOOKUP(AA68,Curr!$B$2:$C$13,2,FALSE),0)</f>
        <v>10.8</v>
      </c>
      <c r="AC68" s="12">
        <f t="shared" si="13"/>
        <v>0</v>
      </c>
      <c r="AD68" s="12">
        <f t="shared" si="14"/>
        <v>0</v>
      </c>
      <c r="AE68" s="13">
        <f t="shared" si="15"/>
        <v>0</v>
      </c>
    </row>
    <row r="69" spans="2:31" x14ac:dyDescent="0.25">
      <c r="B69" s="4"/>
      <c r="E69" s="3"/>
      <c r="F69" s="3"/>
      <c r="G69" s="24"/>
      <c r="H69" s="24"/>
      <c r="K69" s="4"/>
      <c r="L69" s="4"/>
      <c r="M69" s="4"/>
      <c r="N69" s="4"/>
      <c r="O69" s="4"/>
      <c r="P69" s="33"/>
      <c r="Q69" s="25">
        <v>0</v>
      </c>
      <c r="R69" s="25">
        <v>0</v>
      </c>
      <c r="S69" s="12">
        <f t="shared" si="8"/>
        <v>0</v>
      </c>
      <c r="T69" s="5">
        <v>0</v>
      </c>
      <c r="U69" s="12">
        <f t="shared" si="9"/>
        <v>0</v>
      </c>
      <c r="V69" s="25" t="s">
        <v>10</v>
      </c>
      <c r="W69" s="11">
        <f>IFERROR(VLOOKUP(V69,Curr!$B$2:$C$13,2,FALSE),0)</f>
        <v>10.8</v>
      </c>
      <c r="X69" s="12">
        <f t="shared" si="10"/>
        <v>0</v>
      </c>
      <c r="Y69" s="26">
        <f t="shared" si="11"/>
        <v>0</v>
      </c>
      <c r="Z69" s="12">
        <f t="shared" si="12"/>
        <v>0</v>
      </c>
      <c r="AA69" s="4" t="s">
        <v>10</v>
      </c>
      <c r="AB69" s="11">
        <f>IFERROR(VLOOKUP(AA69,Curr!$B$2:$C$13,2,FALSE),0)</f>
        <v>10.8</v>
      </c>
      <c r="AC69" s="12">
        <f t="shared" si="13"/>
        <v>0</v>
      </c>
      <c r="AD69" s="12">
        <f t="shared" si="14"/>
        <v>0</v>
      </c>
      <c r="AE69" s="13">
        <f t="shared" si="15"/>
        <v>0</v>
      </c>
    </row>
    <row r="70" spans="2:31" x14ac:dyDescent="0.25">
      <c r="B70" s="4"/>
      <c r="E70" s="3"/>
      <c r="F70" s="3"/>
      <c r="G70" s="24"/>
      <c r="H70" s="24"/>
      <c r="K70" s="4"/>
      <c r="L70" s="4"/>
      <c r="M70" s="4"/>
      <c r="N70" s="4"/>
      <c r="O70" s="4"/>
      <c r="P70" s="29"/>
      <c r="Q70" s="25">
        <v>0</v>
      </c>
      <c r="R70" s="25">
        <v>0</v>
      </c>
      <c r="S70" s="12">
        <f t="shared" si="8"/>
        <v>0</v>
      </c>
      <c r="T70" s="5">
        <v>0</v>
      </c>
      <c r="U70" s="12">
        <f t="shared" si="9"/>
        <v>0</v>
      </c>
      <c r="V70" s="25" t="s">
        <v>10</v>
      </c>
      <c r="W70" s="11">
        <f>IFERROR(VLOOKUP(V70,Curr!$B$2:$C$13,2,FALSE),0)</f>
        <v>10.8</v>
      </c>
      <c r="X70" s="12">
        <f t="shared" si="10"/>
        <v>0</v>
      </c>
      <c r="Y70" s="26">
        <f t="shared" si="11"/>
        <v>0</v>
      </c>
      <c r="Z70" s="12">
        <f t="shared" si="12"/>
        <v>0</v>
      </c>
      <c r="AA70" s="4" t="s">
        <v>10</v>
      </c>
      <c r="AB70" s="11">
        <f>IFERROR(VLOOKUP(AA70,Curr!$B$2:$C$13,2,FALSE),0)</f>
        <v>10.8</v>
      </c>
      <c r="AC70" s="12">
        <f t="shared" si="13"/>
        <v>0</v>
      </c>
      <c r="AD70" s="12">
        <f t="shared" si="14"/>
        <v>0</v>
      </c>
      <c r="AE70" s="13">
        <f t="shared" si="15"/>
        <v>0</v>
      </c>
    </row>
    <row r="71" spans="2:31" x14ac:dyDescent="0.25">
      <c r="B71" s="4"/>
      <c r="E71" s="3"/>
      <c r="F71" s="3"/>
      <c r="G71" s="24"/>
      <c r="H71" s="24"/>
      <c r="K71" s="4"/>
      <c r="L71" s="4"/>
      <c r="M71" s="4"/>
      <c r="N71" s="4"/>
      <c r="O71" s="4"/>
      <c r="P71" s="33"/>
      <c r="Q71" s="25">
        <v>0</v>
      </c>
      <c r="R71" s="25">
        <v>0</v>
      </c>
      <c r="S71" s="12">
        <f t="shared" si="8"/>
        <v>0</v>
      </c>
      <c r="T71" s="5">
        <v>0</v>
      </c>
      <c r="U71" s="12">
        <f t="shared" si="9"/>
        <v>0</v>
      </c>
      <c r="V71" s="25" t="s">
        <v>10</v>
      </c>
      <c r="W71" s="11">
        <f>IFERROR(VLOOKUP(V71,Curr!$B$2:$C$13,2,FALSE),0)</f>
        <v>10.8</v>
      </c>
      <c r="X71" s="12">
        <f t="shared" si="10"/>
        <v>0</v>
      </c>
      <c r="Y71" s="26">
        <f t="shared" si="11"/>
        <v>0</v>
      </c>
      <c r="Z71" s="12">
        <f t="shared" si="12"/>
        <v>0</v>
      </c>
      <c r="AA71" s="4" t="s">
        <v>10</v>
      </c>
      <c r="AB71" s="11">
        <f>IFERROR(VLOOKUP(AA71,Curr!$B$2:$C$13,2,FALSE),0)</f>
        <v>10.8</v>
      </c>
      <c r="AC71" s="12">
        <f t="shared" si="13"/>
        <v>0</v>
      </c>
      <c r="AD71" s="12">
        <f t="shared" si="14"/>
        <v>0</v>
      </c>
      <c r="AE71" s="13">
        <f t="shared" si="15"/>
        <v>0</v>
      </c>
    </row>
    <row r="72" spans="2:31" x14ac:dyDescent="0.25">
      <c r="B72" s="4"/>
      <c r="E72" s="3"/>
      <c r="F72" s="3"/>
      <c r="G72" s="24"/>
      <c r="H72" s="24"/>
      <c r="K72" s="4"/>
      <c r="L72" s="4"/>
      <c r="M72" s="4"/>
      <c r="N72" s="4"/>
      <c r="O72" s="4"/>
      <c r="P72" s="33"/>
      <c r="Q72" s="25">
        <v>0</v>
      </c>
      <c r="R72" s="25">
        <v>0</v>
      </c>
      <c r="S72" s="12">
        <f t="shared" ref="S72:S83" si="16">+Q72*R72</f>
        <v>0</v>
      </c>
      <c r="T72" s="5">
        <v>0</v>
      </c>
      <c r="U72" s="12">
        <f t="shared" ref="U72:U83" si="17">S72*(1-T72)</f>
        <v>0</v>
      </c>
      <c r="V72" s="25" t="s">
        <v>10</v>
      </c>
      <c r="W72" s="11">
        <f>IFERROR(VLOOKUP(V72,Curr!$B$2:$C$13,2,FALSE),0)</f>
        <v>10.8</v>
      </c>
      <c r="X72" s="12">
        <f t="shared" ref="X72:X83" si="18">U72*W72</f>
        <v>0</v>
      </c>
      <c r="Y72" s="26">
        <f t="shared" ref="Y72:Y83" si="19">Q72</f>
        <v>0</v>
      </c>
      <c r="Z72" s="12">
        <f t="shared" ref="Z72:Z83" si="20">+Y72*R72</f>
        <v>0</v>
      </c>
      <c r="AA72" s="4" t="s">
        <v>10</v>
      </c>
      <c r="AB72" s="11">
        <f>IFERROR(VLOOKUP(AA72,Curr!$B$2:$C$13,2,FALSE),0)</f>
        <v>10.8</v>
      </c>
      <c r="AC72" s="12">
        <f t="shared" ref="AC72:AC83" si="21">+Y72*AB72*R72</f>
        <v>0</v>
      </c>
      <c r="AD72" s="12">
        <f t="shared" ref="AD72:AD83" si="22">+AC72-X72</f>
        <v>0</v>
      </c>
      <c r="AE72" s="13">
        <f t="shared" ref="AE72:AE83" si="23">IFERROR(AD72/AC72,0)</f>
        <v>0</v>
      </c>
    </row>
    <row r="73" spans="2:31" x14ac:dyDescent="0.25">
      <c r="B73" s="4"/>
      <c r="E73" s="3"/>
      <c r="F73" s="3"/>
      <c r="G73" s="24"/>
      <c r="H73" s="24"/>
      <c r="K73" s="4"/>
      <c r="L73" s="4"/>
      <c r="M73" s="4"/>
      <c r="N73" s="4"/>
      <c r="O73" s="4"/>
      <c r="P73" s="33"/>
      <c r="Q73" s="25">
        <v>0</v>
      </c>
      <c r="R73" s="25">
        <v>0</v>
      </c>
      <c r="S73" s="12">
        <f t="shared" si="16"/>
        <v>0</v>
      </c>
      <c r="T73" s="5">
        <v>0</v>
      </c>
      <c r="U73" s="12">
        <f t="shared" si="17"/>
        <v>0</v>
      </c>
      <c r="V73" s="25" t="s">
        <v>10</v>
      </c>
      <c r="W73" s="11">
        <f>IFERROR(VLOOKUP(V73,Curr!$B$2:$C$13,2,FALSE),0)</f>
        <v>10.8</v>
      </c>
      <c r="X73" s="12">
        <f t="shared" si="18"/>
        <v>0</v>
      </c>
      <c r="Y73" s="26">
        <f t="shared" si="19"/>
        <v>0</v>
      </c>
      <c r="Z73" s="12">
        <f t="shared" si="20"/>
        <v>0</v>
      </c>
      <c r="AA73" s="4" t="s">
        <v>10</v>
      </c>
      <c r="AB73" s="11">
        <f>IFERROR(VLOOKUP(AA73,Curr!$B$2:$C$13,2,FALSE),0)</f>
        <v>10.8</v>
      </c>
      <c r="AC73" s="12">
        <f t="shared" si="21"/>
        <v>0</v>
      </c>
      <c r="AD73" s="12">
        <f t="shared" si="22"/>
        <v>0</v>
      </c>
      <c r="AE73" s="13">
        <f t="shared" si="23"/>
        <v>0</v>
      </c>
    </row>
    <row r="74" spans="2:31" x14ac:dyDescent="0.25">
      <c r="B74" s="4"/>
      <c r="E74" s="3"/>
      <c r="F74" s="3"/>
      <c r="G74" s="24"/>
      <c r="H74" s="24"/>
      <c r="K74" s="4"/>
      <c r="L74" s="4"/>
      <c r="M74" s="4"/>
      <c r="N74" s="4"/>
      <c r="O74" s="4"/>
      <c r="P74" s="27"/>
      <c r="Q74" s="25">
        <v>0</v>
      </c>
      <c r="R74" s="25">
        <v>0</v>
      </c>
      <c r="S74" s="12">
        <f t="shared" si="16"/>
        <v>0</v>
      </c>
      <c r="T74" s="5">
        <v>0</v>
      </c>
      <c r="U74" s="12">
        <f t="shared" si="17"/>
        <v>0</v>
      </c>
      <c r="V74" s="25" t="s">
        <v>10</v>
      </c>
      <c r="W74" s="11">
        <f>IFERROR(VLOOKUP(V74,Curr!$B$2:$C$13,2,FALSE),0)</f>
        <v>10.8</v>
      </c>
      <c r="X74" s="12">
        <f t="shared" si="18"/>
        <v>0</v>
      </c>
      <c r="Y74" s="26">
        <f t="shared" si="19"/>
        <v>0</v>
      </c>
      <c r="Z74" s="12">
        <f t="shared" si="20"/>
        <v>0</v>
      </c>
      <c r="AA74" s="4" t="s">
        <v>10</v>
      </c>
      <c r="AB74" s="11">
        <f>IFERROR(VLOOKUP(AA74,Curr!$B$2:$C$13,2,FALSE),0)</f>
        <v>10.8</v>
      </c>
      <c r="AC74" s="12">
        <f t="shared" si="21"/>
        <v>0</v>
      </c>
      <c r="AD74" s="12">
        <f t="shared" si="22"/>
        <v>0</v>
      </c>
      <c r="AE74" s="13">
        <f t="shared" si="23"/>
        <v>0</v>
      </c>
    </row>
    <row r="75" spans="2:31" x14ac:dyDescent="0.25">
      <c r="B75" s="4"/>
      <c r="E75" s="3"/>
      <c r="F75" s="3"/>
      <c r="G75" s="24"/>
      <c r="H75" s="24"/>
      <c r="K75" s="4"/>
      <c r="L75" s="4"/>
      <c r="M75" s="4"/>
      <c r="N75" s="4"/>
      <c r="O75" s="4"/>
      <c r="P75" s="27"/>
      <c r="Q75" s="25">
        <v>0</v>
      </c>
      <c r="R75" s="25">
        <v>0</v>
      </c>
      <c r="S75" s="12">
        <f t="shared" si="16"/>
        <v>0</v>
      </c>
      <c r="T75" s="5">
        <v>0</v>
      </c>
      <c r="U75" s="12">
        <f t="shared" si="17"/>
        <v>0</v>
      </c>
      <c r="V75" s="25" t="s">
        <v>10</v>
      </c>
      <c r="W75" s="11">
        <f>IFERROR(VLOOKUP(V75,Curr!$B$2:$C$13,2,FALSE),0)</f>
        <v>10.8</v>
      </c>
      <c r="X75" s="12">
        <f t="shared" si="18"/>
        <v>0</v>
      </c>
      <c r="Y75" s="26">
        <f t="shared" si="19"/>
        <v>0</v>
      </c>
      <c r="Z75" s="12">
        <f t="shared" si="20"/>
        <v>0</v>
      </c>
      <c r="AA75" s="4" t="s">
        <v>10</v>
      </c>
      <c r="AB75" s="11">
        <f>IFERROR(VLOOKUP(AA75,Curr!$B$2:$C$13,2,FALSE),0)</f>
        <v>10.8</v>
      </c>
      <c r="AC75" s="12">
        <f t="shared" si="21"/>
        <v>0</v>
      </c>
      <c r="AD75" s="12">
        <f t="shared" si="22"/>
        <v>0</v>
      </c>
      <c r="AE75" s="13">
        <f t="shared" si="23"/>
        <v>0</v>
      </c>
    </row>
    <row r="76" spans="2:31" x14ac:dyDescent="0.25">
      <c r="B76" s="4"/>
      <c r="E76" s="3"/>
      <c r="F76" s="3"/>
      <c r="G76" s="24"/>
      <c r="H76" s="24"/>
      <c r="K76" s="4"/>
      <c r="L76" s="4"/>
      <c r="M76" s="4"/>
      <c r="N76" s="4"/>
      <c r="O76" s="4"/>
      <c r="P76" s="27"/>
      <c r="Q76" s="25">
        <v>0</v>
      </c>
      <c r="R76" s="25">
        <v>0</v>
      </c>
      <c r="S76" s="12">
        <f t="shared" si="16"/>
        <v>0</v>
      </c>
      <c r="T76" s="5">
        <v>0</v>
      </c>
      <c r="U76" s="12">
        <f t="shared" si="17"/>
        <v>0</v>
      </c>
      <c r="V76" s="25" t="s">
        <v>10</v>
      </c>
      <c r="W76" s="11">
        <f>IFERROR(VLOOKUP(V76,Curr!$B$2:$C$13,2,FALSE),0)</f>
        <v>10.8</v>
      </c>
      <c r="X76" s="12">
        <f t="shared" si="18"/>
        <v>0</v>
      </c>
      <c r="Y76" s="26">
        <f t="shared" si="19"/>
        <v>0</v>
      </c>
      <c r="Z76" s="12">
        <f t="shared" si="20"/>
        <v>0</v>
      </c>
      <c r="AA76" s="4" t="s">
        <v>10</v>
      </c>
      <c r="AB76" s="11">
        <f>IFERROR(VLOOKUP(AA76,Curr!$B$2:$C$13,2,FALSE),0)</f>
        <v>10.8</v>
      </c>
      <c r="AC76" s="12">
        <f t="shared" si="21"/>
        <v>0</v>
      </c>
      <c r="AD76" s="12">
        <f t="shared" si="22"/>
        <v>0</v>
      </c>
      <c r="AE76" s="13">
        <f t="shared" si="23"/>
        <v>0</v>
      </c>
    </row>
    <row r="77" spans="2:31" x14ac:dyDescent="0.25">
      <c r="B77" s="4"/>
      <c r="E77" s="3"/>
      <c r="F77" s="3"/>
      <c r="G77" s="24"/>
      <c r="H77" s="24"/>
      <c r="K77" s="4"/>
      <c r="L77" s="4"/>
      <c r="M77" s="4"/>
      <c r="N77" s="4"/>
      <c r="O77" s="4"/>
      <c r="P77" s="27"/>
      <c r="Q77" s="25">
        <v>0</v>
      </c>
      <c r="R77" s="25">
        <v>0</v>
      </c>
      <c r="S77" s="12">
        <f t="shared" si="16"/>
        <v>0</v>
      </c>
      <c r="T77" s="5">
        <v>0</v>
      </c>
      <c r="U77" s="12">
        <f t="shared" si="17"/>
        <v>0</v>
      </c>
      <c r="V77" s="25" t="s">
        <v>10</v>
      </c>
      <c r="W77" s="11">
        <f>IFERROR(VLOOKUP(V77,Curr!$B$2:$C$13,2,FALSE),0)</f>
        <v>10.8</v>
      </c>
      <c r="X77" s="12">
        <f t="shared" si="18"/>
        <v>0</v>
      </c>
      <c r="Y77" s="26">
        <f t="shared" si="19"/>
        <v>0</v>
      </c>
      <c r="Z77" s="12">
        <f t="shared" si="20"/>
        <v>0</v>
      </c>
      <c r="AA77" s="4" t="s">
        <v>10</v>
      </c>
      <c r="AB77" s="11">
        <f>IFERROR(VLOOKUP(AA77,Curr!$B$2:$C$13,2,FALSE),0)</f>
        <v>10.8</v>
      </c>
      <c r="AC77" s="12">
        <f t="shared" si="21"/>
        <v>0</v>
      </c>
      <c r="AD77" s="12">
        <f t="shared" si="22"/>
        <v>0</v>
      </c>
      <c r="AE77" s="13">
        <f t="shared" si="23"/>
        <v>0</v>
      </c>
    </row>
    <row r="78" spans="2:31" x14ac:dyDescent="0.25">
      <c r="B78" s="4"/>
      <c r="E78" s="3"/>
      <c r="F78" s="3"/>
      <c r="G78" s="24"/>
      <c r="H78" s="24"/>
      <c r="K78" s="4"/>
      <c r="L78" s="4"/>
      <c r="M78" s="4"/>
      <c r="N78" s="4"/>
      <c r="O78" s="4"/>
      <c r="P78" s="27"/>
      <c r="Q78" s="25">
        <v>0</v>
      </c>
      <c r="R78" s="25">
        <v>0</v>
      </c>
      <c r="S78" s="12">
        <f t="shared" si="16"/>
        <v>0</v>
      </c>
      <c r="T78" s="5">
        <v>0</v>
      </c>
      <c r="U78" s="12">
        <f t="shared" si="17"/>
        <v>0</v>
      </c>
      <c r="V78" s="25" t="s">
        <v>10</v>
      </c>
      <c r="W78" s="11">
        <f>IFERROR(VLOOKUP(V78,Curr!$B$2:$C$13,2,FALSE),0)</f>
        <v>10.8</v>
      </c>
      <c r="X78" s="12">
        <f t="shared" si="18"/>
        <v>0</v>
      </c>
      <c r="Y78" s="26">
        <f t="shared" si="19"/>
        <v>0</v>
      </c>
      <c r="Z78" s="12">
        <f t="shared" si="20"/>
        <v>0</v>
      </c>
      <c r="AA78" s="4" t="s">
        <v>10</v>
      </c>
      <c r="AB78" s="11">
        <f>IFERROR(VLOOKUP(AA78,Curr!$B$2:$C$13,2,FALSE),0)</f>
        <v>10.8</v>
      </c>
      <c r="AC78" s="12">
        <f t="shared" si="21"/>
        <v>0</v>
      </c>
      <c r="AD78" s="12">
        <f t="shared" si="22"/>
        <v>0</v>
      </c>
      <c r="AE78" s="13">
        <f t="shared" si="23"/>
        <v>0</v>
      </c>
    </row>
    <row r="79" spans="2:31" x14ac:dyDescent="0.25">
      <c r="B79" s="4"/>
      <c r="E79" s="3"/>
      <c r="F79" s="3"/>
      <c r="G79" s="24"/>
      <c r="H79" s="24"/>
      <c r="K79" s="4"/>
      <c r="L79" s="4"/>
      <c r="M79" s="4"/>
      <c r="N79" s="4"/>
      <c r="O79" s="4"/>
      <c r="P79" s="27"/>
      <c r="Q79" s="25">
        <v>0</v>
      </c>
      <c r="R79" s="25">
        <v>0</v>
      </c>
      <c r="S79" s="12">
        <f t="shared" si="16"/>
        <v>0</v>
      </c>
      <c r="T79" s="5">
        <v>0</v>
      </c>
      <c r="U79" s="12">
        <f t="shared" si="17"/>
        <v>0</v>
      </c>
      <c r="V79" s="25" t="s">
        <v>10</v>
      </c>
      <c r="W79" s="11">
        <f>IFERROR(VLOOKUP(V79,Curr!$B$2:$C$13,2,FALSE),0)</f>
        <v>10.8</v>
      </c>
      <c r="X79" s="12">
        <f t="shared" si="18"/>
        <v>0</v>
      </c>
      <c r="Y79" s="26">
        <f t="shared" si="19"/>
        <v>0</v>
      </c>
      <c r="Z79" s="12">
        <f t="shared" si="20"/>
        <v>0</v>
      </c>
      <c r="AA79" s="4" t="s">
        <v>10</v>
      </c>
      <c r="AB79" s="11">
        <f>IFERROR(VLOOKUP(AA79,Curr!$B$2:$C$13,2,FALSE),0)</f>
        <v>10.8</v>
      </c>
      <c r="AC79" s="12">
        <f t="shared" si="21"/>
        <v>0</v>
      </c>
      <c r="AD79" s="12">
        <f t="shared" si="22"/>
        <v>0</v>
      </c>
      <c r="AE79" s="13">
        <f t="shared" si="23"/>
        <v>0</v>
      </c>
    </row>
    <row r="80" spans="2:31" x14ac:dyDescent="0.25">
      <c r="B80" s="4"/>
      <c r="E80" s="3"/>
      <c r="F80" s="3"/>
      <c r="G80" s="24"/>
      <c r="H80" s="24"/>
      <c r="K80" s="4"/>
      <c r="L80" s="4"/>
      <c r="M80" s="4"/>
      <c r="N80" s="4"/>
      <c r="O80" s="4"/>
      <c r="P80" s="27"/>
      <c r="Q80" s="25">
        <v>0</v>
      </c>
      <c r="R80" s="25">
        <v>0</v>
      </c>
      <c r="S80" s="12">
        <f t="shared" si="16"/>
        <v>0</v>
      </c>
      <c r="T80" s="5">
        <v>0</v>
      </c>
      <c r="U80" s="12">
        <f t="shared" si="17"/>
        <v>0</v>
      </c>
      <c r="V80" s="25" t="s">
        <v>10</v>
      </c>
      <c r="W80" s="11">
        <f>IFERROR(VLOOKUP(V80,Curr!$B$2:$C$13,2,FALSE),0)</f>
        <v>10.8</v>
      </c>
      <c r="X80" s="12">
        <f t="shared" si="18"/>
        <v>0</v>
      </c>
      <c r="Y80" s="26">
        <f t="shared" si="19"/>
        <v>0</v>
      </c>
      <c r="Z80" s="12">
        <f t="shared" si="20"/>
        <v>0</v>
      </c>
      <c r="AA80" s="4" t="s">
        <v>10</v>
      </c>
      <c r="AB80" s="11">
        <f>IFERROR(VLOOKUP(AA80,Curr!$B$2:$C$13,2,FALSE),0)</f>
        <v>10.8</v>
      </c>
      <c r="AC80" s="12">
        <f t="shared" si="21"/>
        <v>0</v>
      </c>
      <c r="AD80" s="12">
        <f t="shared" si="22"/>
        <v>0</v>
      </c>
      <c r="AE80" s="13">
        <f t="shared" si="23"/>
        <v>0</v>
      </c>
    </row>
    <row r="81" spans="2:36" x14ac:dyDescent="0.25">
      <c r="B81" s="4"/>
      <c r="E81" s="3"/>
      <c r="F81" s="3"/>
      <c r="G81" s="24"/>
      <c r="H81" s="24"/>
      <c r="K81" s="4"/>
      <c r="L81" s="4"/>
      <c r="M81" s="4"/>
      <c r="N81" s="4"/>
      <c r="O81" s="4"/>
      <c r="P81" s="33"/>
      <c r="Q81" s="25">
        <v>0</v>
      </c>
      <c r="R81" s="25">
        <v>0</v>
      </c>
      <c r="S81" s="12">
        <f t="shared" si="16"/>
        <v>0</v>
      </c>
      <c r="T81" s="5">
        <v>0</v>
      </c>
      <c r="U81" s="12">
        <f t="shared" si="17"/>
        <v>0</v>
      </c>
      <c r="V81" s="25" t="s">
        <v>10</v>
      </c>
      <c r="W81" s="11">
        <f>IFERROR(VLOOKUP(V81,Curr!$B$2:$C$13,2,FALSE),0)</f>
        <v>10.8</v>
      </c>
      <c r="X81" s="12">
        <f t="shared" si="18"/>
        <v>0</v>
      </c>
      <c r="Y81" s="26">
        <f t="shared" si="19"/>
        <v>0</v>
      </c>
      <c r="Z81" s="12">
        <f t="shared" si="20"/>
        <v>0</v>
      </c>
      <c r="AA81" s="4" t="s">
        <v>10</v>
      </c>
      <c r="AB81" s="11">
        <f>IFERROR(VLOOKUP(AA81,Curr!$B$2:$C$13,2,FALSE),0)</f>
        <v>10.8</v>
      </c>
      <c r="AC81" s="12">
        <f t="shared" si="21"/>
        <v>0</v>
      </c>
      <c r="AD81" s="12">
        <f t="shared" si="22"/>
        <v>0</v>
      </c>
      <c r="AE81" s="13">
        <f t="shared" si="23"/>
        <v>0</v>
      </c>
    </row>
    <row r="82" spans="2:36" x14ac:dyDescent="0.25">
      <c r="B82" s="4"/>
      <c r="E82" s="3"/>
      <c r="F82" s="3"/>
      <c r="G82" s="24"/>
      <c r="H82" s="24"/>
      <c r="K82" s="4"/>
      <c r="L82" s="4"/>
      <c r="M82" s="4"/>
      <c r="N82" s="4"/>
      <c r="O82" s="4"/>
      <c r="P82" s="27"/>
      <c r="Q82" s="25">
        <v>0</v>
      </c>
      <c r="R82" s="25">
        <v>0</v>
      </c>
      <c r="S82" s="12">
        <f t="shared" si="16"/>
        <v>0</v>
      </c>
      <c r="T82" s="5">
        <v>0</v>
      </c>
      <c r="U82" s="12">
        <f t="shared" si="17"/>
        <v>0</v>
      </c>
      <c r="V82" s="25" t="s">
        <v>10</v>
      </c>
      <c r="W82" s="11">
        <f>IFERROR(VLOOKUP(V82,Curr!$B$2:$C$13,2,FALSE),0)</f>
        <v>10.8</v>
      </c>
      <c r="X82" s="12">
        <f t="shared" si="18"/>
        <v>0</v>
      </c>
      <c r="Y82" s="26">
        <f t="shared" si="19"/>
        <v>0</v>
      </c>
      <c r="Z82" s="12">
        <f t="shared" si="20"/>
        <v>0</v>
      </c>
      <c r="AA82" s="4" t="s">
        <v>10</v>
      </c>
      <c r="AB82" s="11">
        <f>IFERROR(VLOOKUP(AA82,Curr!$B$2:$C$13,2,FALSE),0)</f>
        <v>10.8</v>
      </c>
      <c r="AC82" s="12">
        <f t="shared" si="21"/>
        <v>0</v>
      </c>
      <c r="AD82" s="12">
        <f t="shared" si="22"/>
        <v>0</v>
      </c>
      <c r="AE82" s="13">
        <f t="shared" si="23"/>
        <v>0</v>
      </c>
    </row>
    <row r="83" spans="2:36" x14ac:dyDescent="0.25">
      <c r="B83" s="4"/>
      <c r="E83" s="3"/>
      <c r="F83" s="3"/>
      <c r="G83" s="24"/>
      <c r="H83" s="24"/>
      <c r="K83" s="4"/>
      <c r="L83" s="4"/>
      <c r="M83" s="4"/>
      <c r="N83" s="4"/>
      <c r="O83" s="4"/>
      <c r="P83" s="33"/>
      <c r="Q83" s="25">
        <v>0</v>
      </c>
      <c r="R83" s="25">
        <v>0</v>
      </c>
      <c r="S83" s="12">
        <f t="shared" si="16"/>
        <v>0</v>
      </c>
      <c r="T83" s="5">
        <v>0</v>
      </c>
      <c r="U83" s="12">
        <f t="shared" si="17"/>
        <v>0</v>
      </c>
      <c r="V83" s="25" t="s">
        <v>10</v>
      </c>
      <c r="W83" s="11">
        <f>IFERROR(VLOOKUP(V83,Curr!$B$2:$C$13,2,FALSE),0)</f>
        <v>10.8</v>
      </c>
      <c r="X83" s="12">
        <f t="shared" si="18"/>
        <v>0</v>
      </c>
      <c r="Y83" s="26">
        <f t="shared" si="19"/>
        <v>0</v>
      </c>
      <c r="Z83" s="12">
        <f t="shared" si="20"/>
        <v>0</v>
      </c>
      <c r="AA83" s="4" t="s">
        <v>10</v>
      </c>
      <c r="AB83" s="11">
        <f>IFERROR(VLOOKUP(AA83,Curr!$B$2:$C$13,2,FALSE),0)</f>
        <v>10.8</v>
      </c>
      <c r="AC83" s="12">
        <f t="shared" si="21"/>
        <v>0</v>
      </c>
      <c r="AD83" s="12">
        <f t="shared" si="22"/>
        <v>0</v>
      </c>
      <c r="AE83" s="13">
        <f t="shared" si="23"/>
        <v>0</v>
      </c>
    </row>
    <row r="84" spans="2:36" x14ac:dyDescent="0.25">
      <c r="B84" s="4"/>
      <c r="E84" s="3"/>
      <c r="F84" s="3"/>
      <c r="G84" s="3"/>
      <c r="H84" s="3"/>
      <c r="L84" s="4"/>
      <c r="M84" s="4"/>
      <c r="N84" s="4"/>
      <c r="O84" s="4"/>
      <c r="P84" s="22"/>
      <c r="Q84" s="4"/>
      <c r="R84" s="4"/>
      <c r="S84" s="4"/>
      <c r="T84" s="4"/>
      <c r="U84" s="4"/>
      <c r="V84" s="4"/>
      <c r="W84" s="4"/>
      <c r="X84" s="4"/>
      <c r="Y84" s="4"/>
      <c r="Z84" s="4"/>
      <c r="AA84" s="4"/>
      <c r="AB84" s="4"/>
      <c r="AC84" s="4"/>
      <c r="AD84" s="4"/>
      <c r="AE84" s="4"/>
      <c r="AF84" s="4"/>
    </row>
    <row r="85" spans="2:36" x14ac:dyDescent="0.25">
      <c r="B85" s="14" t="s">
        <v>18</v>
      </c>
      <c r="C85" s="14"/>
      <c r="D85" s="28" t="s">
        <v>42</v>
      </c>
      <c r="E85" s="30" t="s">
        <v>42</v>
      </c>
      <c r="F85" s="30" t="s">
        <v>42</v>
      </c>
      <c r="G85" s="30" t="s">
        <v>42</v>
      </c>
      <c r="H85" s="30" t="s">
        <v>42</v>
      </c>
      <c r="I85" s="28" t="s">
        <v>42</v>
      </c>
      <c r="J85" s="28" t="s">
        <v>42</v>
      </c>
      <c r="K85" s="28" t="s">
        <v>42</v>
      </c>
      <c r="L85" s="28" t="s">
        <v>42</v>
      </c>
      <c r="M85" s="28" t="s">
        <v>42</v>
      </c>
      <c r="N85" s="28" t="s">
        <v>42</v>
      </c>
      <c r="O85" s="28" t="s">
        <v>42</v>
      </c>
      <c r="P85" s="28" t="s">
        <v>42</v>
      </c>
      <c r="Q85" s="31" t="s">
        <v>42</v>
      </c>
      <c r="R85" s="28" t="s">
        <v>42</v>
      </c>
      <c r="S85" s="32" t="s">
        <v>42</v>
      </c>
      <c r="T85" s="28" t="s">
        <v>42</v>
      </c>
      <c r="U85" s="32" t="s">
        <v>42</v>
      </c>
      <c r="V85" s="28" t="s">
        <v>42</v>
      </c>
      <c r="W85" s="28" t="s">
        <v>42</v>
      </c>
      <c r="X85" s="32" t="s">
        <v>42</v>
      </c>
      <c r="Y85" s="32" t="s">
        <v>42</v>
      </c>
      <c r="Z85" s="15">
        <f>SUM(Z7:Z83)</f>
        <v>0</v>
      </c>
      <c r="AA85" s="14"/>
      <c r="AB85" s="14"/>
      <c r="AC85" s="15">
        <f>SUM(AC7:AC83)</f>
        <v>0</v>
      </c>
      <c r="AD85" s="15">
        <f>SUM(AD7:AD83)</f>
        <v>0</v>
      </c>
      <c r="AE85" s="21">
        <f t="shared" ref="AE85" si="24">IFERROR(AD85/AC85,0)</f>
        <v>0</v>
      </c>
      <c r="AF85" s="15">
        <f>SUM(AF8:AF84)</f>
        <v>0</v>
      </c>
      <c r="AG85" s="15">
        <f>SUM(AG8:AG84)</f>
        <v>0</v>
      </c>
      <c r="AH85" s="15">
        <f>SUM(AH8:AH84)</f>
        <v>0</v>
      </c>
      <c r="AI85" s="15">
        <f>SUM(AI8:AI84)</f>
        <v>0</v>
      </c>
      <c r="AJ85" s="15">
        <f>SUM(AJ8:AJ84)</f>
        <v>0</v>
      </c>
    </row>
    <row r="86" spans="2:36" x14ac:dyDescent="0.25">
      <c r="B86" s="4"/>
      <c r="E86" s="3"/>
      <c r="F86" s="3"/>
      <c r="G86" s="3"/>
      <c r="H86" s="3"/>
      <c r="L86" s="4"/>
      <c r="M86" s="4"/>
      <c r="N86" s="4"/>
      <c r="O86" s="4"/>
      <c r="Q86" s="4"/>
      <c r="R86" s="4"/>
      <c r="S86" s="4"/>
      <c r="T86" s="4"/>
      <c r="U86" s="4"/>
      <c r="V86" s="4"/>
      <c r="W86" s="4"/>
      <c r="X86" s="4"/>
      <c r="Y86" s="9"/>
      <c r="Z86" s="9"/>
      <c r="AA86" s="9"/>
      <c r="AB86" s="9"/>
      <c r="AC86" s="9"/>
      <c r="AD86" s="9"/>
      <c r="AE86" s="9"/>
    </row>
    <row r="87" spans="2:36" x14ac:dyDescent="0.25">
      <c r="B87" s="4"/>
      <c r="E87" s="3"/>
      <c r="F87" s="3"/>
      <c r="G87" s="3"/>
      <c r="H87" s="3"/>
      <c r="L87" s="4"/>
      <c r="M87" s="4"/>
      <c r="N87" s="4"/>
      <c r="O87" s="4"/>
      <c r="Q87" s="9"/>
      <c r="R87" s="9"/>
      <c r="S87" s="9"/>
      <c r="T87" s="9"/>
      <c r="U87" s="9"/>
      <c r="V87" s="9"/>
      <c r="W87" s="9"/>
      <c r="X87" s="23"/>
      <c r="Y87" s="34" t="s">
        <v>43</v>
      </c>
      <c r="Z87" s="34">
        <v>29800</v>
      </c>
      <c r="AA87" s="9"/>
      <c r="AB87" s="9"/>
      <c r="AC87" s="9"/>
      <c r="AD87" s="9"/>
      <c r="AE87" s="9"/>
    </row>
    <row r="88" spans="2:36" x14ac:dyDescent="0.25">
      <c r="B88" s="4"/>
      <c r="E88" s="3"/>
      <c r="F88" s="3"/>
      <c r="G88" s="3"/>
      <c r="H88" s="3"/>
      <c r="L88" s="4"/>
      <c r="M88" s="4"/>
      <c r="N88" s="4"/>
      <c r="O88" s="4"/>
      <c r="Q88" s="36"/>
      <c r="R88" s="9" t="s">
        <v>32</v>
      </c>
      <c r="S88" s="9"/>
      <c r="T88" s="9"/>
      <c r="U88" s="9"/>
      <c r="V88" s="9"/>
      <c r="W88" s="9"/>
      <c r="X88" s="9"/>
      <c r="Y88" s="34" t="s">
        <v>44</v>
      </c>
      <c r="Z88" s="34">
        <f>Z87/4</f>
        <v>7450</v>
      </c>
      <c r="AA88" s="9"/>
      <c r="AB88" s="9"/>
      <c r="AC88" s="9"/>
      <c r="AD88" s="9"/>
      <c r="AE88" s="9"/>
      <c r="AF88" s="18"/>
    </row>
    <row r="89" spans="2:36" x14ac:dyDescent="0.25">
      <c r="B89" s="4"/>
      <c r="E89" s="3"/>
      <c r="F89" s="3"/>
      <c r="G89" s="3"/>
      <c r="H89" s="3"/>
      <c r="I89" s="19"/>
      <c r="J89" s="35"/>
      <c r="L89" s="4"/>
      <c r="M89" s="4"/>
      <c r="N89" s="4"/>
      <c r="O89" s="20"/>
      <c r="Q89" s="37"/>
      <c r="R89" s="20" t="s">
        <v>32</v>
      </c>
      <c r="S89" s="20"/>
      <c r="T89" s="20"/>
      <c r="U89" s="20"/>
      <c r="V89" s="20"/>
      <c r="W89" s="20"/>
      <c r="X89" s="20"/>
      <c r="Y89" s="9"/>
      <c r="Z89" s="9"/>
      <c r="AA89" s="9"/>
      <c r="AB89" s="9"/>
      <c r="AC89" s="9"/>
      <c r="AD89" s="9"/>
      <c r="AE89" s="9"/>
      <c r="AF89" s="18"/>
    </row>
    <row r="90" spans="2:36" x14ac:dyDescent="0.25">
      <c r="B90" s="4"/>
      <c r="E90" s="3"/>
      <c r="F90" s="3"/>
      <c r="G90" s="3"/>
      <c r="H90" s="3"/>
      <c r="L90" s="4"/>
      <c r="M90" s="4"/>
      <c r="N90" s="4"/>
      <c r="O90" s="20"/>
      <c r="Q90" s="37"/>
      <c r="R90" s="20" t="s">
        <v>32</v>
      </c>
      <c r="S90" s="20"/>
      <c r="T90" s="20"/>
      <c r="U90" s="20"/>
      <c r="V90" s="20"/>
      <c r="W90" s="20"/>
      <c r="X90" s="20"/>
      <c r="Y90" s="34" t="s">
        <v>31</v>
      </c>
      <c r="Z90" s="34">
        <f>Z85*1.17</f>
        <v>0</v>
      </c>
      <c r="AA90" s="9"/>
      <c r="AB90" s="9"/>
      <c r="AC90" s="9"/>
      <c r="AD90" s="9"/>
      <c r="AE90" s="9"/>
      <c r="AF90" s="18"/>
    </row>
    <row r="91" spans="2:36" x14ac:dyDescent="0.25">
      <c r="B91" s="4"/>
      <c r="E91" s="3"/>
      <c r="F91" s="3"/>
      <c r="G91" s="3"/>
      <c r="H91" s="3"/>
      <c r="L91" s="4"/>
      <c r="M91" s="4"/>
      <c r="N91" s="4"/>
      <c r="O91" s="4"/>
      <c r="Q91" s="9"/>
      <c r="R91" s="9"/>
      <c r="S91" s="9"/>
      <c r="T91" s="9"/>
      <c r="U91" s="9"/>
      <c r="V91" s="9"/>
      <c r="W91" s="9"/>
      <c r="X91" s="9"/>
      <c r="Y91" s="34" t="s">
        <v>44</v>
      </c>
      <c r="Z91" s="34">
        <f>Z90/4</f>
        <v>0</v>
      </c>
      <c r="AA91" s="9"/>
      <c r="AB91" s="9"/>
      <c r="AC91" s="9"/>
      <c r="AD91" s="9"/>
      <c r="AE91" s="9"/>
      <c r="AF91" s="18"/>
    </row>
    <row r="92" spans="2:36" x14ac:dyDescent="0.25">
      <c r="F92" s="1"/>
      <c r="G92" s="1"/>
      <c r="H92" s="1"/>
      <c r="J92" s="1" t="s">
        <v>32</v>
      </c>
      <c r="Q92" s="9"/>
      <c r="R92" s="4"/>
      <c r="S92" s="9"/>
      <c r="T92" s="5"/>
      <c r="U92" s="9"/>
      <c r="V92" s="4"/>
      <c r="W92" s="4"/>
      <c r="X92" s="9"/>
      <c r="Y92" s="9"/>
      <c r="Z92" s="9"/>
      <c r="AA92" s="9"/>
      <c r="AB92" s="9"/>
      <c r="AC92" s="9"/>
      <c r="AD92" s="9"/>
      <c r="AE92" s="9"/>
    </row>
    <row r="93" spans="2:36" x14ac:dyDescent="0.25">
      <c r="R93" s="4"/>
      <c r="S93" s="17"/>
      <c r="T93" s="17"/>
      <c r="U93" s="9"/>
      <c r="V93" s="4"/>
      <c r="W93" s="4"/>
      <c r="X93" s="9"/>
      <c r="Y93" s="9"/>
      <c r="Z93" s="9"/>
      <c r="AA93" s="9"/>
      <c r="AB93" s="9"/>
      <c r="AC93" s="9"/>
      <c r="AD93" s="9"/>
      <c r="AE93" s="9"/>
    </row>
    <row r="94" spans="2:36" x14ac:dyDescent="0.25">
      <c r="Q94" s="9"/>
      <c r="R94" s="4"/>
      <c r="S94" s="16"/>
      <c r="T94" s="16"/>
      <c r="U94" s="9"/>
      <c r="V94" s="4"/>
      <c r="W94" s="4"/>
      <c r="X94" s="9"/>
      <c r="Y94" s="9"/>
      <c r="Z94" s="9"/>
      <c r="AA94" s="9"/>
      <c r="AB94" s="9"/>
      <c r="AC94" s="9"/>
      <c r="AD94" s="9"/>
      <c r="AE94" s="9"/>
    </row>
    <row r="95" spans="2:36" x14ac:dyDescent="0.25">
      <c r="R95" s="4"/>
      <c r="S95" s="16"/>
      <c r="T95" s="16"/>
      <c r="Y95" s="9"/>
      <c r="Z95" s="9"/>
      <c r="AA95" s="9"/>
      <c r="AB95" s="9"/>
      <c r="AC95" s="9"/>
      <c r="AD95" s="9"/>
      <c r="AE95" s="9"/>
    </row>
    <row r="96" spans="2:36" x14ac:dyDescent="0.25">
      <c r="T96" s="5"/>
      <c r="Y96" s="9"/>
      <c r="Z96" s="9"/>
      <c r="AA96" s="9"/>
      <c r="AB96" s="9"/>
      <c r="AC96" s="9"/>
      <c r="AD96" s="9"/>
      <c r="AE96" s="9"/>
    </row>
    <row r="97" spans="20:31" x14ac:dyDescent="0.25">
      <c r="T97" s="5"/>
      <c r="Y97" s="9"/>
      <c r="Z97" s="9"/>
      <c r="AA97" s="9"/>
      <c r="AB97" s="9"/>
      <c r="AC97" s="9"/>
      <c r="AD97" s="9"/>
      <c r="AE97" s="9"/>
    </row>
    <row r="98" spans="20:31" x14ac:dyDescent="0.25">
      <c r="T98" s="5"/>
      <c r="Y98" s="9"/>
      <c r="Z98" s="9"/>
      <c r="AA98" s="9"/>
      <c r="AB98" s="9"/>
      <c r="AC98" s="9"/>
      <c r="AD98" s="9"/>
      <c r="AE98" s="9"/>
    </row>
    <row r="99" spans="20:31" x14ac:dyDescent="0.25">
      <c r="T99" s="5"/>
      <c r="Y99" s="9"/>
      <c r="Z99" s="9"/>
      <c r="AA99" s="9"/>
      <c r="AB99" s="9"/>
      <c r="AC99" s="9"/>
      <c r="AD99" s="9"/>
      <c r="AE99" s="9"/>
    </row>
    <row r="100" spans="20:31" x14ac:dyDescent="0.25">
      <c r="T100" s="5"/>
      <c r="Y100" s="9"/>
      <c r="Z100" s="9"/>
      <c r="AA100" s="9"/>
      <c r="AB100" s="9"/>
      <c r="AC100" s="9"/>
      <c r="AD100" s="9"/>
      <c r="AE100" s="9"/>
    </row>
    <row r="101" spans="20:31" x14ac:dyDescent="0.25">
      <c r="T101" s="5"/>
      <c r="Y101" s="9"/>
      <c r="Z101" s="9"/>
      <c r="AA101" s="9"/>
      <c r="AB101" s="9"/>
      <c r="AC101" s="9"/>
      <c r="AD101" s="9"/>
      <c r="AE101" s="9"/>
    </row>
    <row r="102" spans="20:31" x14ac:dyDescent="0.25">
      <c r="T102" s="5"/>
      <c r="Y102" s="9"/>
      <c r="Z102" s="9"/>
      <c r="AA102" s="9"/>
      <c r="AB102" s="9"/>
      <c r="AC102" s="9"/>
      <c r="AD102" s="9"/>
      <c r="AE102" s="9"/>
    </row>
    <row r="103" spans="20:31" x14ac:dyDescent="0.25">
      <c r="T103" s="5"/>
      <c r="Y103" s="9"/>
      <c r="Z103" s="9"/>
      <c r="AA103" s="9"/>
      <c r="AB103" s="9"/>
      <c r="AC103" s="9"/>
      <c r="AD103" s="9"/>
      <c r="AE103" s="9"/>
    </row>
    <row r="104" spans="20:31" x14ac:dyDescent="0.25">
      <c r="T104" s="5"/>
    </row>
    <row r="105" spans="20:31" x14ac:dyDescent="0.25">
      <c r="T105" s="5"/>
    </row>
    <row r="106" spans="20:31" x14ac:dyDescent="0.25">
      <c r="T106" s="5"/>
    </row>
    <row r="107" spans="20:31" x14ac:dyDescent="0.25">
      <c r="T107" s="5"/>
    </row>
    <row r="108" spans="20:31" x14ac:dyDescent="0.25">
      <c r="T108" s="5"/>
    </row>
  </sheetData>
  <autoFilter ref="B6:AE85" xr:uid="{65FA6D9B-E0AF-46CD-BA0D-86BB75FE6AB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123EF72DA63D44FA2A28E00AC11E8EE" ma:contentTypeVersion="18" ma:contentTypeDescription="Opprett et nytt dokument." ma:contentTypeScope="" ma:versionID="0e7978918f7ba2b56dd79afad014a1ed">
  <xsd:schema xmlns:xsd="http://www.w3.org/2001/XMLSchema" xmlns:xs="http://www.w3.org/2001/XMLSchema" xmlns:p="http://schemas.microsoft.com/office/2006/metadata/properties" xmlns:ns2="9b6e2739-bd71-49a7-afc4-e179dfe94dc1" xmlns:ns3="2b30070a-7262-4d8b-a938-b3248c635664" targetNamespace="http://schemas.microsoft.com/office/2006/metadata/properties" ma:root="true" ma:fieldsID="c48e0c1802030b8740a8f4de73b33bbb" ns2:_="" ns3:_="">
    <xsd:import namespace="9b6e2739-bd71-49a7-afc4-e179dfe94dc1"/>
    <xsd:import namespace="2b30070a-7262-4d8b-a938-b3248c63566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6e2739-bd71-49a7-afc4-e179dfe94d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cfc72ce7-c435-4f97-944d-94ae49e3dc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30070a-7262-4d8b-a938-b3248c63566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5266e5a3-2fe4-433c-87fb-0dc58561f75a}" ma:internalName="TaxCatchAll" ma:showField="CatchAllData" ma:web="2b30070a-7262-4d8b-a938-b3248c6356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b6e2739-bd71-49a7-afc4-e179dfe94dc1">
      <Terms xmlns="http://schemas.microsoft.com/office/infopath/2007/PartnerControls"/>
    </lcf76f155ced4ddcb4097134ff3c332f>
    <TaxCatchAll xmlns="2b30070a-7262-4d8b-a938-b3248c6356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583956-6198-441D-88CE-2DAC6C9CB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6e2739-bd71-49a7-afc4-e179dfe94dc1"/>
    <ds:schemaRef ds:uri="2b30070a-7262-4d8b-a938-b3248c6356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692FD7-DCDA-4048-8BCD-FC2D85C5421C}">
  <ds:schemaRefs>
    <ds:schemaRef ds:uri="http://schemas.microsoft.com/office/2006/metadata/properties"/>
    <ds:schemaRef ds:uri="http://schemas.microsoft.com/office/infopath/2007/PartnerControls"/>
    <ds:schemaRef ds:uri="9b6e2739-bd71-49a7-afc4-e179dfe94dc1"/>
    <ds:schemaRef ds:uri="2b30070a-7262-4d8b-a938-b3248c635664"/>
  </ds:schemaRefs>
</ds:datastoreItem>
</file>

<file path=customXml/itemProps3.xml><?xml version="1.0" encoding="utf-8"?>
<ds:datastoreItem xmlns:ds="http://schemas.openxmlformats.org/officeDocument/2006/customXml" ds:itemID="{A477E57D-ABDD-4DAE-B3A5-315ED7FE90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Curr</vt:lpstr>
      <vt:lpstr>Kalk</vt:lpstr>
      <vt:lpstr>Kalk 2</vt:lpstr>
      <vt:lpstr>Kalk 3</vt:lpstr>
      <vt:lpstr>Kalk 4</vt:lpstr>
      <vt:lpstr>Kalk 5</vt:lpstr>
      <vt:lpstr>Kalk 6</vt:lpstr>
      <vt:lpstr>Kalk 7</vt:lpstr>
      <vt:lpstr>Kalk 8 Reverse</vt:lpstr>
      <vt:lpstr>Kalk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Christer Andre Olsen</dc:creator>
  <cp:lastModifiedBy>Dennis Kålen</cp:lastModifiedBy>
  <dcterms:created xsi:type="dcterms:W3CDTF">2023-07-31T16:02:03Z</dcterms:created>
  <dcterms:modified xsi:type="dcterms:W3CDTF">2026-05-24T11:39:07Z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0x0101001123EF72DA63D44FA2A28E00AC11E8EE</vt:lpwstr>
  </property>
  <property fmtid="{D5CDD505-2E9C-101B-9397-08002B2CF9AE}" pid="3" name="MediaServiceImageTags">
    <vt:lpwstr/>
  </property>
</Properties>
</file>